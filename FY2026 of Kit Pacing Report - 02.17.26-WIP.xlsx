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Finance - Internal\Podcastone\PODC Management Reports\2026\"/>
    </mc:Choice>
  </mc:AlternateContent>
  <xr:revisionPtr revIDLastSave="0" documentId="13_ncr:1_{5C16C5DA-A56F-483C-9D8E-91CF6E7C26A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ing - Yearly Summary" sheetId="1" r:id="rId1"/>
    <sheet name="Pacing - Act. vs Budget" sheetId="2" r:id="rId2"/>
    <sheet name="Pacing - Monthly Inputs (actual" sheetId="3" r:id="rId3"/>
    <sheet name="Variance Check" sheetId="4" r:id="rId4"/>
    <sheet name="Forecast Supports --&gt;" sheetId="12" r:id="rId5"/>
    <sheet name="Adswizz Rev_Exp_02.17" sheetId="10" r:id="rId6"/>
    <sheet name="Programmatic Data_Michal_02.09" sheetId="8" r:id="rId7"/>
    <sheet name="Billed n Booked_Philip_02.02" sheetId="9" r:id="rId8"/>
    <sheet name="Actuals Supports ---&gt;" sheetId="13" r:id="rId9"/>
    <sheet name="Dec-2025_IncomeStatement" sheetId="11" r:id="rId10"/>
    <sheet name="Adam Carolla_Monthly Breakdown" sheetId="15" r:id="rId11"/>
    <sheet name="ART19 Summary_YTD" sheetId="16" r:id="rId12"/>
    <sheet name="Ellie Summary" sheetId="7" state="hidden" r:id="rId13"/>
  </sheets>
  <definedNames>
    <definedName name="\M">#REF!</definedName>
    <definedName name="\P">#REF!</definedName>
    <definedName name="\S">#REF!</definedName>
    <definedName name="\U">#REF!</definedName>
    <definedName name="___LO1073">#REF!</definedName>
    <definedName name="___LO1077">#REF!</definedName>
    <definedName name="___LO1082">#REF!</definedName>
    <definedName name="___LO1084">#REF!</definedName>
    <definedName name="___LO802067">#REF!</definedName>
    <definedName name="__123Graph" hidden="1">#REF!</definedName>
    <definedName name="__123Graph_A" hidden="1">#REF!</definedName>
    <definedName name="__123Graph_APROCEEDS" hidden="1">#REF!</definedName>
    <definedName name="__123Graph_B" hidden="1">#REF!</definedName>
    <definedName name="__123Graph_BPROCEEDS" hidden="1">#REF!</definedName>
    <definedName name="__123Graph_C" hidden="1">#REF!</definedName>
    <definedName name="__123Graph_CPROCEEDS" hidden="1">#REF!</definedName>
    <definedName name="__123Graph_E" hidden="1">#REF!</definedName>
    <definedName name="__123Graph_X" hidden="1">#REF!</definedName>
    <definedName name="__123Graph_XPROCEEDS" hidden="1">#REF!</definedName>
    <definedName name="__FDS_HYPERLINK_TOGGLE_STATE__" hidden="1">"ON"</definedName>
    <definedName name="__LO1073">#REF!</definedName>
    <definedName name="__LO1077">#REF!</definedName>
    <definedName name="__LO1082">#REF!</definedName>
    <definedName name="__LO1084">#REF!</definedName>
    <definedName name="__LO802067">#REF!</definedName>
    <definedName name="__USQ3">#REF!</definedName>
    <definedName name="_1_0_Table2_" hidden="1">#REF!</definedName>
    <definedName name="_1pa">#REF!</definedName>
    <definedName name="_2_0_S" hidden="1">#REF!</definedName>
    <definedName name="_2â____Z">#REF!,#REF!,#REF!,#REF!</definedName>
    <definedName name="_3_0_Table2_" hidden="1">#REF!</definedName>
    <definedName name="_30_Char">#REF!</definedName>
    <definedName name="_4_0_Table2_" hidden="1">#REF!</definedName>
    <definedName name="_bdm.009845FD32B743BD9D76A909EE5A65A9.edm" hidden="1">#REF!</definedName>
    <definedName name="_bdm.01090638383E45F3B961820A412D0FE5.edm" hidden="1">#REF!</definedName>
    <definedName name="_bdm.022AF0D3183A46A197EBBEDDD880DE03.edm" hidden="1">#REF!</definedName>
    <definedName name="_bdm.042BA0AE6CFA429590B503D68760A29B.edm" hidden="1">#REF!</definedName>
    <definedName name="_bdm.0513FA1E780D4B7FBD23E8DE481268A8.edm" hidden="1">#REF!</definedName>
    <definedName name="_bdm.076779CC9F02427EBF15B42778CB90C5.edm" hidden="1">#REF!</definedName>
    <definedName name="_bdm.07DC5B8C25494E42B744B430B71B25C0.edm" hidden="1">#REF!</definedName>
    <definedName name="_bdm.0886CE02D69847808CE7067D998F4DAB.edm" hidden="1">#REF!</definedName>
    <definedName name="_bdm.0BA62A1B617843DAACF5A38E904C7FD8.edm" hidden="1">#REF!</definedName>
    <definedName name="_bdm.0E44BB4097F247DF93B56B90B1DCBE08.edm" hidden="1">#REF!</definedName>
    <definedName name="_bdm.11EC9228B5E9437B8F6DC512726DA49E.edm" hidden="1">#REF!</definedName>
    <definedName name="_bdm.126E1B560F1040B6BEB6DEB58B32ECCB.edm" hidden="1">#REF!</definedName>
    <definedName name="_bdm.12DE238A50094CDDBBD80ACAFEEBF501.edm" hidden="1">#REF!</definedName>
    <definedName name="_bdm.132ABBB7F1894661861F894A1013D607.edm" hidden="1">#REF!</definedName>
    <definedName name="_bdm.1420ECD0B01E4AB4A13F6C2443C625CB.edm" hidden="1">#REF!</definedName>
    <definedName name="_bdm.14A8963A6AC14DA3BF8B6E86157BA339.edm" hidden="1">#REF!</definedName>
    <definedName name="_bdm.1629667838034103B758A2A2ECD0B354.edm" hidden="1">#REF!</definedName>
    <definedName name="_bdm.182AE7469BBC4B2791049D95F3C9A3CC.edm" hidden="1">#REF!</definedName>
    <definedName name="_bdm.19E5A2B2FAFE4165B8FD0CF46659C5D4.edm" hidden="1">#REF!</definedName>
    <definedName name="_bdm.1B3478F71A1D42D4803DBE64333572B4.edm" hidden="1">#REF!</definedName>
    <definedName name="_bdm.1B41AC9381554BA19427EBB1C5DB7608.edm" hidden="1">#REF!</definedName>
    <definedName name="_bdm.1C7F6EDB10AC477CAD5DF831871BCAB5.edm" hidden="1">#REF!</definedName>
    <definedName name="_bdm.1C859BDF0DA947DBB30ED84BCB58FE49.edm" hidden="1">#REF!</definedName>
    <definedName name="_bdm.1CEF6667094D46AFA2D7D0196753026E.edm" hidden="1">#REF!</definedName>
    <definedName name="_bdm.205C74BBB5634E21B3535D039154962C.edm" hidden="1">#REF!</definedName>
    <definedName name="_bdm.205E3C90B3D14966A6DE26F50363B1C8.edm" hidden="1">#REF!</definedName>
    <definedName name="_bdm.21C3A887B4FD49AC846198B1C92A11F2.edm" hidden="1">#REF!</definedName>
    <definedName name="_bdm.24C23D26DB304032A24275E287FADDB2.edm" hidden="1">#REF!</definedName>
    <definedName name="_bdm.256E0F39F0284CDDA7916FBB4691D463.edm" hidden="1">#REF!</definedName>
    <definedName name="_bdm.2584E3E20E9A4C518E1A483FB6F85CAD.edm" hidden="1">#REF!</definedName>
    <definedName name="_bdm.26221054B93C4108824090FBC27EB31F.edm" hidden="1">#REF!</definedName>
    <definedName name="_bdm.26EC173EFF9E480B9811F7CACC8CFAF3.edm" hidden="1">#REF!</definedName>
    <definedName name="_bdm.270CBF8C6DA84630823CBF0B1B08D610.edm" hidden="1">#REF!</definedName>
    <definedName name="_bdm.2806AECF531846F48539E7CD9FBC158E.edm" hidden="1">#REF!</definedName>
    <definedName name="_bdm.2BAB98E2D67E4422A8FF472ED321768D.edm" hidden="1">#REF!</definedName>
    <definedName name="_bdm.2C1202055018420DB4024B88B54DA9FA.edm" hidden="1">#REF!</definedName>
    <definedName name="_bdm.2DA889388F0842E38186EA86879C5F76.edm" hidden="1">#REF!</definedName>
    <definedName name="_bdm.30AD6ACD5A6D4F09B5179AE27355DD2C.edm" hidden="1">#REF!</definedName>
    <definedName name="_bdm.31E8E9079B3E4134BD0A921312C018EC.edm" hidden="1">#REF!</definedName>
    <definedName name="_bdm.32189150D2A34F37AFF3DA45AFC5AAE4.edm" hidden="1">#REF!</definedName>
    <definedName name="_bdm.343C48F7EEA9405EA12106FBE489F17A.edm" hidden="1">#REF!</definedName>
    <definedName name="_bdm.3489D1D062F44B3BB41E5F9502E09C71.edm" hidden="1">#REF!</definedName>
    <definedName name="_bdm.34DA0B732231450C865A8A27C2FB0F74.edm" hidden="1">#REF!</definedName>
    <definedName name="_bdm.34DB022813C742E2AF5F80AB6FF22033.edm" hidden="1">#REF!</definedName>
    <definedName name="_bdm.34F202EFD1DA4A6DB40621C032E1324A.edm" hidden="1">#REF!</definedName>
    <definedName name="_bdm.358E16C9E00C42C1BCBE20A0BD37726A.edm" hidden="1">#REF!</definedName>
    <definedName name="_bdm.36D0CC6A117B4FD09568E3764450C739.edm" hidden="1">#REF!</definedName>
    <definedName name="_bdm.36ED3F3206A54CDEBEA9443FD96A79C5.edm" hidden="1">#REF!</definedName>
    <definedName name="_bdm.3A027BF5F8734F948550C7E60B2D839B.edm" hidden="1">#REF!</definedName>
    <definedName name="_bdm.3A4DCDC2B4444FB397ACD11FF271F247.edm" hidden="1">#REF!</definedName>
    <definedName name="_bdm.3E35D513F28549C28C85FC4AA7561102.edm" hidden="1">#REF!</definedName>
    <definedName name="_bdm.412C59DDAE2B41C58839D0472D501611.edm" hidden="1">#REF!</definedName>
    <definedName name="_bdm.4303E69DE3A94987B312AB6D58565609.edm" hidden="1">#REF!</definedName>
    <definedName name="_bdm.44395391481248E68C4B0D59900CDB6A.edm" hidden="1">#REF!</definedName>
    <definedName name="_bdm.460EF4B1C98145B9BFF69FB06BE9C0C1.edm" hidden="1">#REF!</definedName>
    <definedName name="_bdm.46D4269F016B46A6ADC70D97518BF314.edm" hidden="1">#REF!</definedName>
    <definedName name="_bdm.48190A2CACBE4AA7946D162FC86C3FF8.edm" hidden="1">#REF!</definedName>
    <definedName name="_bdm.491AB51CE05A4CD2AB3049B0CBD5ABA6.edm" hidden="1">#REF!</definedName>
    <definedName name="_bdm.4941D5E5465147FEA24F854EFBA47619.edm" hidden="1">#REF!</definedName>
    <definedName name="_bdm.4B1E07BE2D054F3DA9FB201DC373CE48.edm" hidden="1">#REF!</definedName>
    <definedName name="_bdm.4E6F2E91C7B34D28B08AA800E448985D.edm" hidden="1">#REF!</definedName>
    <definedName name="_bdm.4F82FE1A12F5434AB9A439BE3E773E97.edm" hidden="1">#REF!</definedName>
    <definedName name="_bdm.51494FE94E9747CAA669F7EB9E7BBA28.edm" hidden="1">#REF!</definedName>
    <definedName name="_bdm.533FB886C4AA4C58B83B82893FE40CD8.edm" hidden="1">#REF!</definedName>
    <definedName name="_bdm.541BB6CD8BDA4D87A388E0EA1B990A05.edm" hidden="1">#REF!</definedName>
    <definedName name="_bdm.5433CEEB3C16468394E8D28704572D0C.edm" hidden="1">#REF!</definedName>
    <definedName name="_bdm.550B1660DB2146C98F995001B946FD71.edm" hidden="1">#REF!</definedName>
    <definedName name="_bdm.56DC5802BAD24BA0ABB3673C58D7CD6D.edm" hidden="1">#REF!</definedName>
    <definedName name="_bdm.583E821495E549C6945A767309FFDAA9.edm" hidden="1">#REF!</definedName>
    <definedName name="_bdm.58D1C335C7BC4C389AA842BE299B68B9.edm" hidden="1">#REF!</definedName>
    <definedName name="_bdm.5945B19232234DD0B2ECCBF559FD1028.edm" hidden="1">#REF!</definedName>
    <definedName name="_bdm.599E417045894E45ADD7986946EACE92.edm" hidden="1">#REF!</definedName>
    <definedName name="_bdm.5A72E5B69AF94FD49E32AF2B554D5D96.edm" hidden="1">#REF!</definedName>
    <definedName name="_bdm.5AA2602F3C46476DBC39FCA0BB50EC20.edm" hidden="1">#REF!</definedName>
    <definedName name="_bdm.5B7CE2EB0BEA40EBAA1E3F6743553A66.edm" hidden="1">#REF!</definedName>
    <definedName name="_bdm.5BECEFC798F34865AA5CE595B2D3023D.edm" hidden="1">#REF!</definedName>
    <definedName name="_bdm.5D8C5890F0C14034B45CFBB89C57004C.edm" hidden="1">#REF!</definedName>
    <definedName name="_bdm.5EF490BDCB19487BAA9D5572C72B847E.edm" hidden="1">#REF!</definedName>
    <definedName name="_bdm.5F43003A68CE4D1794656C50F8DFFDEA.edm" hidden="1">#REF!</definedName>
    <definedName name="_bdm.64C457BF8B8E4D2886EEB10E6A3D915B.edm" hidden="1">#REF!</definedName>
    <definedName name="_bdm.66959BDC1D4248249AF2EE184B21C5C3.edm" hidden="1">#REF!</definedName>
    <definedName name="_bdm.6A19ED7CC4D1456DB50F405177381BC7.edm" hidden="1">#REF!</definedName>
    <definedName name="_bdm.6AB99403BB3D4B8489CE29AD99E79C63.edm" hidden="1">#REF!</definedName>
    <definedName name="_bdm.6AE4E3FBA58D41B481D183E448864076.edm" hidden="1">#REF!</definedName>
    <definedName name="_bdm.6B03867024A741B78F7636FA9A3C7BA9.edm" hidden="1">#REF!</definedName>
    <definedName name="_bdm.6CB9CC9EA23A421BB93FDA4C0CAB67A9.edm" hidden="1">#REF!</definedName>
    <definedName name="_bdm.6DCD421686704058945BC0DFC8E32123.edm" hidden="1">#REF!</definedName>
    <definedName name="_bdm.70A505502E5D41CA96C56333E04E7ED7.edm" hidden="1">#REF!</definedName>
    <definedName name="_bdm.721EFD11C2F6428B9B66009E53CC9B21.edm" hidden="1">#REF!</definedName>
    <definedName name="_bdm.726FAC314D524AF7BAFF608D4E665A3C.edm" hidden="1">#REF!</definedName>
    <definedName name="_bdm.72E396B8AD434FF19B8E0D9632FD6C5C.edm" hidden="1">#REF!</definedName>
    <definedName name="_bdm.76E262169AD84AA0929848F4AAA5473D.edm" hidden="1">#REF!</definedName>
    <definedName name="_bdm.77A7C795589E4AD396C9D8533979E970.edm" hidden="1">#REF!</definedName>
    <definedName name="_bdm.7A111DE3C1E24ED581A980D722A82C60.edm" hidden="1">#REF!</definedName>
    <definedName name="_bdm.7BDB2853FBCB4B658596FB889000BCD9.edm" hidden="1">#REF!</definedName>
    <definedName name="_bdm.7D1CF18726DC461188ED6836C5D183F9.edm" hidden="1">#REF!</definedName>
    <definedName name="_bdm.800DE221F45C44B6B763639844BE34AC.edm" hidden="1">#REF!</definedName>
    <definedName name="_bdm.807772E6C2E143748F52643C18113A69.edm" hidden="1">#REF!</definedName>
    <definedName name="_bdm.83E2E42E96FD49D1B2143AEA356A5C7F.edm" hidden="1">#REF!</definedName>
    <definedName name="_bdm.85DB0E32C05B48BBA0AD648BEC07D250.edm" hidden="1">#REF!</definedName>
    <definedName name="_bdm.87EB76A76AAC4FA89BCDD4BFE7A06EB4.edm" hidden="1">#REF!</definedName>
    <definedName name="_bdm.8A1B21D1C3D84D13A54B97761013F804.edm" hidden="1">#REF!</definedName>
    <definedName name="_bdm.8A81DA2BA5CE4593B6098C9E9BF6B289.edm" hidden="1">#REF!</definedName>
    <definedName name="_bdm.8E03C061907B4380B760E8F8FB5C2C13.edm" hidden="1">#REF!</definedName>
    <definedName name="_bdm.8F202F7657344E659221A49A9FEAC422.edm" hidden="1">#REF!</definedName>
    <definedName name="_bdm.8F5F4DE2B60048B1B1DA3B033C5AB8B3.edm" hidden="1">#REF!</definedName>
    <definedName name="_bdm.903F604ABE324184854F72945FFEFC05.edm" hidden="1">#REF!</definedName>
    <definedName name="_bdm.959D90CC442C4A318BD207B2BCCF8AAA.edm" hidden="1">#REF!</definedName>
    <definedName name="_bdm.95FA0D4CB3FB4000996BF0E990081D57.edm" hidden="1">#REF!</definedName>
    <definedName name="_bdm.96773D512D9047539C860981F1D54FB0.edm" hidden="1">#REF!</definedName>
    <definedName name="_bdm.967F9BC7498F459F86CBDEF4262C90D8.edm" hidden="1">#REF!</definedName>
    <definedName name="_bdm.97C76634B1C8430AA6CB626BEE64D51D.edm" hidden="1">#REF!</definedName>
    <definedName name="_bdm.98EBAFC5A4454B658A29AD3467AD03EB.edm" hidden="1">#REF!</definedName>
    <definedName name="_bdm.9A4EA043E0CE4996983BD33FC106568D.edm" hidden="1">#REF!</definedName>
    <definedName name="_bdm.9AB3D2E7211A4EA681B6124F548358E0.edm" hidden="1">#REF!</definedName>
    <definedName name="_bdm.9AB4D26CD9CD41F18EEA7A4884628840.edm" hidden="1">#REF!</definedName>
    <definedName name="_bdm.9C6C63BEA845451ABF8C9346C89E7466.edm" hidden="1">#REF!</definedName>
    <definedName name="_bdm.9CEAD609A1B94430983A93C662499D93.edm" hidden="1">#REF!</definedName>
    <definedName name="_bdm.9DB4D3E7476C4DD5923F3FCC9D63CA55.edm" hidden="1">#REF!</definedName>
    <definedName name="_bdm.9F958E9ECD78425DAA57CAEED85DD961.edm" hidden="1">#REF!</definedName>
    <definedName name="_bdm.A091FC1ECB2D49BAAA8AFFAFD5A42BA4.edm" hidden="1">#REF!</definedName>
    <definedName name="_bdm.A1CCA24ECC2142FEAEB30AEB7AFC5EE4.edm" hidden="1">#REF!</definedName>
    <definedName name="_bdm.A2181B6BB2534257AC522901E16DCD46.edm" hidden="1">#REF!</definedName>
    <definedName name="_bdm.A269C471FEAC496D9CFB9649010204D3.edm" hidden="1">#REF!</definedName>
    <definedName name="_bdm.A2744CBDBC314405A0C56B104283087C.edm" hidden="1">#REF!</definedName>
    <definedName name="_bdm.A2A85727345D42808F1CA1E71F4F1954.edm" hidden="1">#REF!</definedName>
    <definedName name="_bdm.A4DF775C6BC841B2BDF08FCD32D63A12.edm" hidden="1">#REF!</definedName>
    <definedName name="_bdm.A4EAADCD58104DDE9910B8452081016E.edm" hidden="1">#REF!</definedName>
    <definedName name="_bdm.A5E83AAEE629490FAE001DD64D144051.edm" hidden="1">#REF!</definedName>
    <definedName name="_bdm.A667789815894EACBB92E2C6F052A05D.edm" hidden="1">#REF!</definedName>
    <definedName name="_bdm.AA1987B2D671480BA3D6D329F3FC4A50.edm" hidden="1">#REF!</definedName>
    <definedName name="_bdm.AADC4FE331AE48BB975BBC31384EC34F.edm" hidden="1">#REF!</definedName>
    <definedName name="_bdm.ABD7338EEF444D23B714D08F8091D8B6.edm" hidden="1">#REF!</definedName>
    <definedName name="_bdm.ABE6413B90B04AA3849844A90B2FA24D.edm" hidden="1">#REF!</definedName>
    <definedName name="_bdm.AD8E035592524BAAA33D61E2FA29CA39.edm" hidden="1">#REF!</definedName>
    <definedName name="_bdm.AF30D984965B493D8F5AB64CAC4FA12A.edm" hidden="1">#REF!</definedName>
    <definedName name="_bdm.B0DA3266B555472A98A4D24860DA0C65.edm" hidden="1">#REF!</definedName>
    <definedName name="_bdm.B0F42507F8474A7C8FA869F01B4A0A63.edm" hidden="1">#REF!</definedName>
    <definedName name="_bdm.B2BADB144B084E7786F575CD09E8A497.edm" hidden="1">#REF!</definedName>
    <definedName name="_bdm.B35E1AF25B0E4DF3BEE3041BE8462363.edm" hidden="1">#REF!</definedName>
    <definedName name="_bdm.B3E6C5B505DB440995AC4101E4282E99.edm" hidden="1">#REF!</definedName>
    <definedName name="_bdm.B421EFBB6BEA4EF0943FEE30EDD91A43.edm" hidden="1">#REF!</definedName>
    <definedName name="_bdm.B52CA8CDAF4943D9A382F4C57C245C59.edm" hidden="1">#REF!</definedName>
    <definedName name="_bdm.B76AD7900F624FA98D3463E6EBDDD7F2.edm" hidden="1">#REF!</definedName>
    <definedName name="_bdm.B77AFB7D8E2B45C9A0EAF69D54F51974.edm" hidden="1">#REF!</definedName>
    <definedName name="_bdm.B9080526C2534674AD25977FC04216B5.edm" hidden="1">#REF!</definedName>
    <definedName name="_bdm.BBCE73E34DE64562B9482766465D95B5.edm" hidden="1">#REF!</definedName>
    <definedName name="_bdm.BC9017671BD14D3994B7A0015DF132FD.edm" hidden="1">#REF!</definedName>
    <definedName name="_bdm.BD27CBE79D784C69A7D2305150427BBF.edm" hidden="1">#REF!</definedName>
    <definedName name="_bdm.BE778D16443E4CA884234D40CE6256B0.edm" hidden="1">#REF!</definedName>
    <definedName name="_bdm.BF6B7ABD842443F5864E93BA56BB7CB5.edm" hidden="1">#REF!</definedName>
    <definedName name="_bdm.C1B1E1B638054E6EB3A8692CF7376D7F.edm" hidden="1">#REF!</definedName>
    <definedName name="_bdm.C3E14CA99C32416FBAD5968FE1F24380.edm" hidden="1">#REF!</definedName>
    <definedName name="_bdm.C40F7E9068C4499483A655B86154B4AA.edm" hidden="1">#REF!</definedName>
    <definedName name="_bdm.C46F8466C5E5412FA0597209FA7E8E1B.edm" hidden="1">#REF!</definedName>
    <definedName name="_bdm.C47DD5B492B64143BFC24AC360C7C0B7.edm" hidden="1">#REF!</definedName>
    <definedName name="_bdm.C67055EDF3284E578899E6927EE80D24.edm" hidden="1">#REF!</definedName>
    <definedName name="_bdm.C8695DC2EC1F43498DD99DABFAC11B0F.edm" hidden="1">#REF!</definedName>
    <definedName name="_bdm.C93671C494FA4BC08AD8434EA75F1413.edm" hidden="1">#REF!</definedName>
    <definedName name="_bdm.C9DB08F957F04984AF5A23BB52825D6F.edm" hidden="1">#REF!</definedName>
    <definedName name="_bdm.CADEA5FD1D8C42A39450AC887A684BA8.edm" hidden="1">#REF!</definedName>
    <definedName name="_bdm.CB8BEC7487B44CD2975CBB8A69DA4F57.edm" hidden="1">#REF!</definedName>
    <definedName name="_bdm.D2B505A7A874479DB8006C7140E77CE2.edm" hidden="1">#REF!</definedName>
    <definedName name="_bdm.D75FF6563AD149129323371DC39CAD05.edm" hidden="1">#REF!</definedName>
    <definedName name="_bdm.D85EA82A8D70437D84039EB2D0EECEC2.edm" hidden="1">#REF!</definedName>
    <definedName name="_bdm.D8A1BF9EB64041C582B83E7024C210C0.edm" hidden="1">#REF!</definedName>
    <definedName name="_bdm.D921E20F806B4196B1EF425FC44651AC.edm" hidden="1">#REF!</definedName>
    <definedName name="_bdm.D969A19984A746FB899EB2836EDFD32F.edm" hidden="1">#REF!</definedName>
    <definedName name="_bdm.DADC07875E7D4E45BF35042215B25293.edm" hidden="1">#REF!</definedName>
    <definedName name="_bdm.DB6B70D6B1F54D99891FE383843331E3.edm" hidden="1">#REF!</definedName>
    <definedName name="_bdm.DE0FCCC8594749C982FD796144451062.edm" hidden="1">#REF!</definedName>
    <definedName name="_bdm.DEECC995620748C69D944AEC781042D0.edm" hidden="1">#REF!</definedName>
    <definedName name="_bdm.E22CCDA85C44467E8F033AB900757D2A.edm" hidden="1">#REF!</definedName>
    <definedName name="_bdm.E64833EB353D419DAA2732FF8E92A0FF.edm" hidden="1">#REF!</definedName>
    <definedName name="_bdm.E6AE0D74C32D42C095C5DC5D19F8749B.edm" hidden="1">#REF!</definedName>
    <definedName name="_bdm.EA02BDA25BE046288BEF5C31F756B399.edm" hidden="1">#REF!</definedName>
    <definedName name="_bdm.ED75646204EC4624AE69DF842B6B627A.edm" hidden="1">#REF!</definedName>
    <definedName name="_bdm.EEDEBF9D2FB84931B92F7B21299A4E0D.edm" hidden="1">#REF!</definedName>
    <definedName name="_bdm.EF16A700032E451DA733E0F92A08B039.edm" hidden="1">#REF!</definedName>
    <definedName name="_bdm.F057621EB707410FACA6AC408D75E18D.edm" hidden="1">#REF!</definedName>
    <definedName name="_bdm.F1653C4BBB0C4E23A93235A4D51CD49D.edm" hidden="1">#REF!</definedName>
    <definedName name="_bdm.F174225B767348D9B172688942D0B9A3.edm" hidden="1">#REF!</definedName>
    <definedName name="_bdm.F419C428D2B84C01B297E048115425DB.edm" hidden="1">#REF!</definedName>
    <definedName name="_bdm.F74208FC372248FCB602DDFA6480353C.edm" hidden="1">#REF!</definedName>
    <definedName name="_bdm.F7F94D6ADE204A9288AFF495992FE6D7.edm" hidden="1">#REF!</definedName>
    <definedName name="_bdm.F8CA4A6118D34081954C9CA4AEFE37F6.edm" hidden="1">#REF!</definedName>
    <definedName name="_bdm.FB174F85EEE548088632E7D02D6D9890.edm" hidden="1">#REF!</definedName>
    <definedName name="_bdm.FC38315ED4AC4BEE87541E1595DE1F55.edm" hidden="1">#REF!</definedName>
    <definedName name="_bdm.FC91B771155D4F64AB230F5A163E2647.edm" hidden="1">#REF!</definedName>
    <definedName name="_bdm.FD3D0A67F1C04B70ACA61F92E7C65AD5.edm" hidden="1">#REF!</definedName>
    <definedName name="_Day1">#REF!</definedName>
    <definedName name="_Day30">#REF!</definedName>
    <definedName name="_Fill" hidden="1">#REF!</definedName>
    <definedName name="_xlnm._FilterDatabase" localSheetId="7" hidden="1">'Billed n Booked_Philip_02.02'!$A$1:$S$50</definedName>
    <definedName name="_xlnm._FilterDatabase" hidden="1">#REF!</definedName>
    <definedName name="_FTE12">#REF!</definedName>
    <definedName name="_GSRATES_1" hidden="1">"CT300001Latest          "</definedName>
    <definedName name="_GSRATES_COUNT" hidden="1">1</definedName>
    <definedName name="_GSRATESR_1" hidden="1">#REF!</definedName>
    <definedName name="_JAN10">#REF!</definedName>
    <definedName name="_JAN17">#REF!</definedName>
    <definedName name="_JAN24">#REF!</definedName>
    <definedName name="_Jul" hidden="1">#REF!</definedName>
    <definedName name="_Key1" hidden="1">#REF!</definedName>
    <definedName name="_Key2" hidden="1">#REF!</definedName>
    <definedName name="_LO1073">#REF!</definedName>
    <definedName name="_LO1077">#REF!</definedName>
    <definedName name="_LO1082">#REF!</definedName>
    <definedName name="_LO1084">#REF!</definedName>
    <definedName name="_LO802067">#REF!</definedName>
    <definedName name="_Order1" hidden="1">255</definedName>
    <definedName name="_Order2" hidden="1">255</definedName>
    <definedName name="_pa">#REF!</definedName>
    <definedName name="_ProdPercent">#REF!</definedName>
    <definedName name="_Productlines">#REF!</definedName>
    <definedName name="_q3" hidden="1">#REF!</definedName>
    <definedName name="_sch1">#REF!</definedName>
    <definedName name="_sch2">#REF!</definedName>
    <definedName name="_Sort" hidden="1">#REF!</definedName>
    <definedName name="_Table1_In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s59022">#REF!</definedName>
    <definedName name="_USQ1">#REF!</definedName>
    <definedName name="_USQ2">#REF!</definedName>
    <definedName name="_USQ3">#REF!</definedName>
    <definedName name="_USQ4">#REF!</definedName>
    <definedName name="_USQ499">#REF!</definedName>
    <definedName name="a">#REF!</definedName>
    <definedName name="aa" hidden="1">{#N/A,#N/A,FALSE,"Projections";#N/A,#N/A,FALSE,"Multiples Valuation";#N/A,#N/A,FALSE,"LBO";#N/A,#N/A,FALSE,"Multiples_Sensitivity";#N/A,#N/A,FALSE,"Summary"}</definedName>
    <definedName name="aaa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alSheet">#REF!,#REF!</definedName>
    <definedName name="aabb" hidden="1">{#N/A,#N/A,FALSE,"Projections";#N/A,#N/A,FALSE,"Multiples Valuation";#N/A,#N/A,FALSE,"LBO";#N/A,#N/A,FALSE,"Multiples_Sensitivity";#N/A,#N/A,FALSE,"Summary"}</definedName>
    <definedName name="aaPL">#REF!,#REF!</definedName>
    <definedName name="abc">#REF!</definedName>
    <definedName name="AccessLoad">#REF!</definedName>
    <definedName name="Account">#REF!</definedName>
    <definedName name="ACCOUNT_MAP">#REF!</definedName>
    <definedName name="Account_Mapx">#REF!</definedName>
    <definedName name="ACCOUNTEDPERIODTYPE1">#REF!</definedName>
    <definedName name="ACCOUNTEDPERIODTYPE2">#REF!</definedName>
    <definedName name="Accounts">#REF!</definedName>
    <definedName name="AccruedInc">#REF!</definedName>
    <definedName name="AccruedInterest">#REF!</definedName>
    <definedName name="AccruedInterest2">#REF!</definedName>
    <definedName name="AccruedInterest2.1">#REF!</definedName>
    <definedName name="AccruedWages2">#REF!</definedName>
    <definedName name="Acct">#REF!</definedName>
    <definedName name="ActualISData">#REF!</definedName>
    <definedName name="adfasdf" hidden="1">#REF!</definedName>
    <definedName name="adfasdfa" hidden="1">#REF!</definedName>
    <definedName name="adfasdfs" hidden="1">#REF!</definedName>
    <definedName name="adfsasdfdsa" hidden="1">#REF!</definedName>
    <definedName name="adsfasdf" hidden="1">#REF!</definedName>
    <definedName name="afsdsdf" hidden="1">#REF!</definedName>
    <definedName name="ajlaJLAjsoaKPOA">#REF!</definedName>
    <definedName name="akb">#REF!</definedName>
    <definedName name="akt">#REF!</definedName>
    <definedName name="ALAE_BF">#REF!</definedName>
    <definedName name="ALAE_Summary">#REF!</definedName>
    <definedName name="ALL">#REF!</definedName>
    <definedName name="AllData">#REF!</definedName>
    <definedName name="AllDataMstr">#REF!</definedName>
    <definedName name="ALP">#REF!</definedName>
    <definedName name="AltaGas">#REF!</definedName>
    <definedName name="Amount">#REF!</definedName>
    <definedName name="AmountOutstanding">#REF!</definedName>
    <definedName name="annie">#REF!</definedName>
    <definedName name="anscount" hidden="1">2</definedName>
    <definedName name="APACBU">#REF!</definedName>
    <definedName name="APACQ4">#REF!</definedName>
    <definedName name="APPSUSERNAME1">#REF!</definedName>
    <definedName name="APPSUSERNAME2">#REF!</definedName>
    <definedName name="ARA_Threshold">#REF!</definedName>
    <definedName name="ARP_Threshold">#REF!</definedName>
    <definedName name="as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8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f" hidden="1">{#N/A,#N/A,FALSE,"funnel";#N/A,#N/A,FALSE,"AE Summary";#N/A,#N/A,FALSE,"Product Summary"}</definedName>
    <definedName name="asdfasdf" hidden="1">#REF!</definedName>
    <definedName name="assur_factor">#REF!</definedName>
    <definedName name="atch_Desc">#REF!</definedName>
    <definedName name="b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backlog">#REF!</definedName>
    <definedName name="Backup">#REF!</definedName>
    <definedName name="BackupWeekly">#REF!</definedName>
    <definedName name="baddebt">#REF!</definedName>
    <definedName name="BAL">#REF!</definedName>
    <definedName name="Balance">#REF!</definedName>
    <definedName name="Batch_ID">#REF!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GRP">#REF!</definedName>
    <definedName name="begindate">#REF!</definedName>
    <definedName name="Beginning_Balance">#REF!</definedName>
    <definedName name="Benson">#REF!</definedName>
    <definedName name="BFBGRP">#REF!</definedName>
    <definedName name="BG_Del" hidden="1">15</definedName>
    <definedName name="BG_Ins" hidden="1">4</definedName>
    <definedName name="BG_Mod" hidden="1">6</definedName>
    <definedName name="BillVFTotal">#REF!</definedName>
    <definedName name="BLDGNOTES">#N/A</definedName>
    <definedName name="BLPH1" hidden="1">#REF!</definedName>
    <definedName name="BMFAFFP">#REF!</definedName>
    <definedName name="BMFDIRP">#REF!</definedName>
    <definedName name="BMFGRP">#REF!</definedName>
    <definedName name="BMFPREMP">#REF!</definedName>
    <definedName name="bonus_table">#REF!</definedName>
    <definedName name="BONUS_TOT">#REF!</definedName>
    <definedName name="Booked">#REF!</definedName>
    <definedName name="bottom_line">#REF!</definedName>
    <definedName name="BroadcastData">#REF!</definedName>
    <definedName name="bs">#REF!</definedName>
    <definedName name="BS_AvgCase">#REF!</definedName>
    <definedName name="BS_Case_Reserve">#REF!</definedName>
    <definedName name="BS_DataTri">#REF!</definedName>
    <definedName name="BS_Eval_Periods">#REF!</definedName>
    <definedName name="BS_Factors">#REF!</definedName>
    <definedName name="BS_Loss">#REF!</definedName>
    <definedName name="BUDCOMP">#REF!</definedName>
    <definedName name="BUDINCMTH">#REF!</definedName>
    <definedName name="BUDINCPCT">#REF!</definedName>
    <definedName name="BVFCARP">#REF!</definedName>
    <definedName name="BVFDIRP">#REF!</definedName>
    <definedName name="BVFGRP">#REF!</definedName>
    <definedName name="BVFREFP">#REF!</definedName>
    <definedName name="BVFWLSPP">#REF!</definedName>
    <definedName name="BVPGRP">#REF!</definedName>
    <definedName name="BYERATE">#REF!</definedName>
    <definedName name="CAMHZNLoan2">#REF!</definedName>
    <definedName name="CAPITAL">#N/A</definedName>
    <definedName name="Capital_Adds">#REF!</definedName>
    <definedName name="careers">#REF!</definedName>
    <definedName name="case">#REF!</definedName>
    <definedName name="Case_Reserves">#REF!</definedName>
    <definedName name="Cash">#REF!</definedName>
    <definedName name="cc" hidden="1">#REF!</definedName>
    <definedName name="cf">#REF!</definedName>
    <definedName name="changer1" hidden="1">#REF!</definedName>
    <definedName name="changer2" hidden="1">#REF!</definedName>
    <definedName name="changer3" hidden="1">#REF!</definedName>
    <definedName name="changer4" hidden="1">#REF!</definedName>
    <definedName name="changer5" hidden="1">#REF!</definedName>
    <definedName name="changer6" hidden="1">#REF!</definedName>
    <definedName name="changer7" hidden="1">#REF!</definedName>
    <definedName name="changer8" hidden="1">#REF!</definedName>
    <definedName name="CHARTOFACCOUNTSID1">#REF!</definedName>
    <definedName name="CHARTOFACCOUNTSID2">#REF!</definedName>
    <definedName name="Client_Name">#REF!</definedName>
    <definedName name="Closed_no_pay_counts">#REF!</definedName>
    <definedName name="colgroup">#REF!</definedName>
    <definedName name="Collider">#REF!</definedName>
    <definedName name="Colored_Diamond">#REF!</definedName>
    <definedName name="colsegment">#REF!</definedName>
    <definedName name="ColumnAttributes1">#REF!</definedName>
    <definedName name="ColumnAttributes3">#REF!</definedName>
    <definedName name="ColumnHeadings1">#REF!</definedName>
    <definedName name="ColumnHeadings3">#REF!</definedName>
    <definedName name="CommonStock2">#REF!</definedName>
    <definedName name="Comp_Prior_AYALAE">#REF!</definedName>
    <definedName name="Comp_Prior_AYLoss">#REF!</definedName>
    <definedName name="Comp_Ult_ALAE">#REF!</definedName>
    <definedName name="Comp_Ult_Loss">#REF!</definedName>
    <definedName name="company">#REF!</definedName>
    <definedName name="company_name">#REF!</definedName>
    <definedName name="Company_number">#REF!</definedName>
    <definedName name="CoName">#REF!</definedName>
    <definedName name="CONNECTSTRING1">#REF!</definedName>
    <definedName name="CONNECTSTRING2">#REF!</definedName>
    <definedName name="console_order_count_range">#REF!</definedName>
    <definedName name="Continental">#REF!</definedName>
    <definedName name="ControlLevels">#REF!</definedName>
    <definedName name="ConversionShares">#REF!</definedName>
    <definedName name="Corporate_Tax">#REF!</definedName>
    <definedName name="CorpWedge">#REF!</definedName>
    <definedName name="cover">#REF!</definedName>
    <definedName name="CPM_Decr">#REF!</definedName>
    <definedName name="CR_EUR_Dates">#REF!</definedName>
    <definedName name="CR_EUR_DF">#REF!</definedName>
    <definedName name="CREATESUMMARYJNLS1">#REF!</definedName>
    <definedName name="CREATESUMMARYJNLS2">#REF!</definedName>
    <definedName name="Credits">#REF!</definedName>
    <definedName name="CRITERIACOLUMN1">#REF!</definedName>
    <definedName name="CRITERIACOLUMN2">#REF!</definedName>
    <definedName name="CritO">#REF!</definedName>
    <definedName name="CSApr07">#REF!</definedName>
    <definedName name="CSFeb07">#REF!</definedName>
    <definedName name="CSJan07">#REF!</definedName>
    <definedName name="CSMar07">#REF!</definedName>
    <definedName name="Currency">#REF!</definedName>
    <definedName name="currency_rates">#REF!</definedName>
    <definedName name="CurrencyCode">#REF!</definedName>
    <definedName name="Current_HC">#REF!</definedName>
    <definedName name="Current_Month">#REF!</definedName>
    <definedName name="CurrentCP">#REF!</definedName>
    <definedName name="CWPCts_Heading">#REF!</definedName>
    <definedName name="CWPCts_SelFactors">#REF!</definedName>
    <definedName name="Cwvu.GREY_ALL." hidden="1">#REF!</definedName>
    <definedName name="cy_net_income">#REF!</definedName>
    <definedName name="cy_ret_earn_beg">#REF!</definedName>
    <definedName name="cy_retained_earnings">#REF!</definedName>
    <definedName name="cy_share_equity">#REF!</definedName>
    <definedName name="D" hidden="1">{#N/A,#N/A,FALSE,"AD_Purch";#N/A,#N/A,FALSE,"Projections";#N/A,#N/A,FALSE,"DCF";#N/A,#N/A,FALSE,"Mkt Val"}</definedName>
    <definedName name="DATA">#REF!</definedName>
    <definedName name="DATA2">#REF!</definedName>
    <definedName name="DATA3">#REF!</definedName>
    <definedName name="data5">#REF!</definedName>
    <definedName name="date">#REF!</definedName>
    <definedName name="Date1">#REF!</definedName>
    <definedName name="Date2">#REF!</definedName>
    <definedName name="Day">#REF!</definedName>
    <definedName name="DaysPerWeek">7</definedName>
    <definedName name="DBNAME1">#REF!</definedName>
    <definedName name="DBNAME2">#REF!</definedName>
    <definedName name="DBUSERNAME1">#REF!</definedName>
    <definedName name="DBUSERNAME2">#REF!</definedName>
    <definedName name="dd" hidden="1">{#N/A,#N/A,FALSE,"AD_Purch";#N/A,#N/A,FALSE,"Projections";#N/A,#N/A,FALSE,"DCF";#N/A,#N/A,FALSE,"Mkt Val"}</definedName>
    <definedName name="dd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ebits">#REF!</definedName>
    <definedName name="DebtDiscount2">#REF!</definedName>
    <definedName name="Decr">#REF!</definedName>
    <definedName name="DEF">#REF!</definedName>
    <definedName name="DefPremTax">#REF!</definedName>
    <definedName name="DEFTAX">#REF!</definedName>
    <definedName name="DELETELOGICTYPE1">#REF!</definedName>
    <definedName name="DELETELOGICTYPE2">#REF!</definedName>
    <definedName name="deletes">#REF!</definedName>
    <definedName name="DEP">#N/A</definedName>
    <definedName name="Depr_Criteria">#REF!</definedName>
    <definedName name="Depr_Database">#REF!</definedName>
    <definedName name="DEPRECIATAION">#N/A</definedName>
    <definedName name="Depreciation">#REF!</definedName>
    <definedName name="DEPT">#REF!</definedName>
    <definedName name="Dept_Name">#REF!</definedName>
    <definedName name="Dept_Number">#REF!</definedName>
    <definedName name="DeptName">#REF!</definedName>
    <definedName name="Description">#REF!</definedName>
    <definedName name="dfdfdfd" hidden="1">{#N/A,#N/A,FALSE,"AD_Purchase";#N/A,#N/A,FALSE,"Credit";#N/A,#N/A,FALSE,"PF Acquisition";#N/A,#N/A,FALSE,"PF Offering"}</definedName>
    <definedName name="dffgjh">#REF!</definedName>
    <definedName name="dfsfhkhfkfkjfljfljflf">#REF!</definedName>
    <definedName name="dhdfdffgdfgdfgd">#REF!</definedName>
    <definedName name="di">#REF!</definedName>
    <definedName name="Diamond_Identification">#REF!</definedName>
    <definedName name="DirectMthlyFee">#REF!</definedName>
    <definedName name="DirectSetupFee">#REF!</definedName>
    <definedName name="DirectTotalSeats">#REF!</definedName>
    <definedName name="dispo">#REF!</definedName>
    <definedName name="Division1">#REF!</definedName>
    <definedName name="Division2">#REF!</definedName>
    <definedName name="Division3">#REF!</definedName>
    <definedName name="Division4">#REF!</definedName>
    <definedName name="DOC">#REF!</definedName>
    <definedName name="dog">#REF!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t">#REF!</definedName>
    <definedName name="drg">#REF!</definedName>
    <definedName name="drlFilter">#REF!</definedName>
    <definedName name="DROPJAN10">#REF!</definedName>
    <definedName name="DROPJAN17">#REF!</definedName>
    <definedName name="DROPJAN17TOT">#REF!</definedName>
    <definedName name="DROPJAN24">#REF!</definedName>
    <definedName name="DTS">#REF!</definedName>
    <definedName name="duplicate123A" hidden="1">#REF!</definedName>
    <definedName name="E">#REF!</definedName>
    <definedName name="EES_actual">#REF!</definedName>
    <definedName name="Elimination_number">#REF!</definedName>
    <definedName name="ELL_actual">#REF!</definedName>
    <definedName name="EMPID">#REF!</definedName>
    <definedName name="enddate">#REF!</definedName>
    <definedName name="Ending_Balance">#REF!</definedName>
    <definedName name="Entity_100">#REF!</definedName>
    <definedName name="Entity_120">#REF!</definedName>
    <definedName name="Entity_140">#REF!</definedName>
    <definedName name="Entity_170">#REF!</definedName>
    <definedName name="Entity_180">#REF!</definedName>
    <definedName name="Entity_200">#REF!</definedName>
    <definedName name="Entity_220">#REF!</definedName>
    <definedName name="Entity_230">#REF!</definedName>
    <definedName name="Entity_240">#REF!</definedName>
    <definedName name="Entity_250">#REF!</definedName>
    <definedName name="Entity_260">#REF!</definedName>
    <definedName name="Entity_300">#REF!</definedName>
    <definedName name="Entity_310">#REF!</definedName>
    <definedName name="Entity_320">#REF!</definedName>
    <definedName name="Entity_400">#REF!</definedName>
    <definedName name="Entity_420">#REF!</definedName>
    <definedName name="Entity_499">#REF!</definedName>
    <definedName name="Entity_500">#REF!</definedName>
    <definedName name="Entity_600">#REF!</definedName>
    <definedName name="Entity_610">#REF!</definedName>
    <definedName name="Entity_611">#REF!</definedName>
    <definedName name="Entity_620">#REF!</definedName>
    <definedName name="Entity_621">#REF!</definedName>
    <definedName name="Entity_630">#REF!</definedName>
    <definedName name="Entity_699">#REF!</definedName>
    <definedName name="Entity_700">#REF!</definedName>
    <definedName name="Entity_701">#REF!</definedName>
    <definedName name="Entity_702">#REF!</definedName>
    <definedName name="Entity_703">#REF!</definedName>
    <definedName name="Entity_720">#REF!</definedName>
    <definedName name="Entity_721">#REF!</definedName>
    <definedName name="Entity_790">#REF!</definedName>
    <definedName name="Entity_799">#REF!</definedName>
    <definedName name="Entity_820">#REF!</definedName>
    <definedName name="Entity_821">#REF!</definedName>
    <definedName name="Entity_899">#REF!</definedName>
    <definedName name="EPDLoan2">#REF!</definedName>
    <definedName name="EQUITY">#REF!</definedName>
    <definedName name="Equity2">#REF!</definedName>
    <definedName name="EssLatest">"Jan"</definedName>
    <definedName name="EssOptions">"A2100000000111100011001100000_01000"</definedName>
    <definedName name="EstimationEndDate">#REF!</definedName>
    <definedName name="EstimationStartDate">#REF!</definedName>
    <definedName name="eur">#REF!</definedName>
    <definedName name="EurBU">#REF!</definedName>
    <definedName name="Euro">#REF!</definedName>
    <definedName name="EuroQ3">#REF!</definedName>
    <definedName name="EurQ1">#REF!</definedName>
    <definedName name="Eurq2">#REF!</definedName>
    <definedName name="EurQ3">#REF!</definedName>
    <definedName name="EurQ4">#REF!</definedName>
    <definedName name="EurQ499">#REF!</definedName>
    <definedName name="EV__CVPARAMS__" hidden="1">"Any by Any!$B$17:$C$38;"</definedName>
    <definedName name="EV__EVCOM_OPTIONS__" hidden="1">8</definedName>
    <definedName name="EV__EXPOPTIONS__" hidden="1">0</definedName>
    <definedName name="EV__LASTREFTIME__" hidden="1">37533.6307175926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"ipc"</definedName>
    <definedName name="ExactAddinConnection" hidden="1">"001"</definedName>
    <definedName name="ExactAddinConnection.001" hidden="1">"DB02\\EXACT2003;001;exact.Floris;1"</definedName>
    <definedName name="ExactAddinConnection.002" hidden="1">"DB02\\EXACT2003;002;exact.Floris;1"</definedName>
    <definedName name="ExactAddinConnection.003" hidden="1">"DB02\\EXACT2003;003;exact.Floris;1"</definedName>
    <definedName name="ExactAddinConnection.004" hidden="1">"DB02\\EXACT2003;004;exact.Floris;1"</definedName>
    <definedName name="ExactAddinConnection.005" hidden="1">"DB02\\EXACT2003;005;exact.Floris;1"</definedName>
    <definedName name="ExactAddinConnection.006" hidden="1">"DB01\\EXACT2003;006;exact.chriso;1"</definedName>
    <definedName name="ExactAddinConnection.007" hidden="1">"DB02\\EXACT2003;007;exact.floris;1"</definedName>
    <definedName name="ExactAddinConnection.008" hidden="1">"DB02\\EXACT2003;008;exact.Floris;1"</definedName>
    <definedName name="ExactAddinConnection.010" hidden="1">"DB02\\EXACT2003;010;exact.Floris;1"</definedName>
    <definedName name="ExactAddinConnection.011" hidden="1">"DB02\\EXACT2003;011;exact.Floris;1"</definedName>
    <definedName name="ExactAddinConnection.030" hidden="1">"DB02\\EXACT2003;030;exact.Floris;1"</definedName>
    <definedName name="ExactAddinConnection.031" hidden="1">"DB02\\EXACT2003;031;exact.Floris;1"</definedName>
    <definedName name="ExactAddinConnection.032" hidden="1">"DB02\\EXACT2003;032;exact.Floris;1"</definedName>
    <definedName name="ExactAddinConnection.033" hidden="1">"DB02\\EXACT2003;033;exact.Floris;1"</definedName>
    <definedName name="ExactAddinConnection.034" hidden="1">"DB02\\EXACT2003;034;exact.Floris;1"</definedName>
    <definedName name="ExactAddinConnection.035" hidden="1">"DB02\\EXACT2003;035;exact.Floris;1"</definedName>
    <definedName name="ExactAddinConnection.036" hidden="1">"DB02\\EXACT2003;036;exact.Floris;1"</definedName>
    <definedName name="ExactAddinConnection.037" hidden="1">"DB02\\EXACT2003;037;exact.Floris;1"</definedName>
    <definedName name="ExactAddinConnection.038" hidden="1">"DB02\\EXACT2003;038;exact.Floris;1"</definedName>
    <definedName name="ExactAddinConnection.039" hidden="1">"DB02\\EXACT2003;039;exact.Floris;1"</definedName>
    <definedName name="ExactAddinConnection.040" hidden="1">"DB02\\EXACT2003;040;exact.Floris;1"</definedName>
    <definedName name="ExactAddinConnection.041" hidden="1">"DB02\\EXACT2003;041;exact.Floris;1"</definedName>
    <definedName name="ExactAddinConnection.045" hidden="1">"DB02\\EXACT2003;045;exact.Floris;1"</definedName>
    <definedName name="ExactAddinConnection.046" hidden="1">"DB02\\EXACT2003;046;exact.Floris;1"</definedName>
    <definedName name="ExactAddinConnection.047" hidden="1">"DB02\\EXACT2003;047;exact.Floris;1"</definedName>
    <definedName name="ExactAddinConnection.050" hidden="1">"DB02\\EXACT2003;050;exact.Floris;1"</definedName>
    <definedName name="ExactAddinConnection.060" hidden="1">"DB02\\EXACT2003;060;exact.Floris;1"</definedName>
    <definedName name="ExactAddinConnection.061" hidden="1">"DB02\\EXACT2003;061;exact.Floris;1"</definedName>
    <definedName name="ExactAddinConnection.062" hidden="1">"DB02\\EXACT2003;062;exact.Floris;1"</definedName>
    <definedName name="ExactAddinConnection.063" hidden="1">"DB02\\EXACT2003;063;exact.Floris;1"</definedName>
    <definedName name="ExactAddinConnection.064" hidden="1">"DB02\\EXACT2003;064;exact.Floris;1"</definedName>
    <definedName name="ExactAddinConnection.065" hidden="1">"DB02\\EXACT2003;065;exact.Floris;1"</definedName>
    <definedName name="ExactAddinConnection.066" hidden="1">"DB02\\EXACT2003;066;exact.Floris;1"</definedName>
    <definedName name="ExactAddinConnection.067" hidden="1">"DB01\\EXACT2003;067;exact.chriso;1"</definedName>
    <definedName name="ExactAddinConnection.068" hidden="1">"DB02\\EXACT2003;068;exact.Floris;1"</definedName>
    <definedName name="ExactAddinConnection.080" hidden="1">"DB02\\EXACT2003;080;exact.Floris;1"</definedName>
    <definedName name="ExactAddinConnection.090" hidden="1">"DB02\\EXACT2003;090;exact.Floris;1"</definedName>
    <definedName name="ExactAddinConnection.091" hidden="1">"DB02\\EXACT2003;091;exact.floris;1"</definedName>
    <definedName name="ExactAddinConnection.095" hidden="1">"DB02\\EXACT2003;095;exact.Floris;1"</definedName>
    <definedName name="ExactAddinConnection.100" hidden="1">"shserver;100;tom;1"</definedName>
    <definedName name="ExactAddinConnection.102" hidden="1">"DB02\\EXACT2003;102;exact.Floris;1"</definedName>
    <definedName name="ExactAddinConnection.103" hidden="1">"DB02\\EXACT2003;103;exact.Floris;1"</definedName>
    <definedName name="ExactAddinConnection.104" hidden="1">"DB02\\EXACT2003;104;exact.Floris;1"</definedName>
    <definedName name="ExactAddinConnection.105" hidden="1">"DB01\\EXACT2003;105;exact.chriso;1"</definedName>
    <definedName name="ExactAddinConnection.106" hidden="1">"DB02\\EXACT2003;106;exact.floris;1"</definedName>
    <definedName name="ExactAddinConnection.145" hidden="1">"DB02\\EXACT2003;145;exact.floris;1"</definedName>
    <definedName name="ExactAddinConnection.150" hidden="1">"DB02\\EXACT2003;150;exact.Floris;1"</definedName>
    <definedName name="ExactAddinConnection.190" hidden="1">"DB02\\EXACT2003;190;exact.floris;1"</definedName>
    <definedName name="ExactAddinReports" hidden="1">1</definedName>
    <definedName name="EXC_B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4">#REF!</definedName>
    <definedName name="Excel_BuiltIn_Print_Area_1_1_1_1_1_5">#REF!</definedName>
    <definedName name="Excel_BuiltIn_Print_Area_1_1_1_1_1_6">#REF!</definedName>
    <definedName name="Excel_BuiltIn_Print_Area_1_1_1_1_10">#REF!</definedName>
    <definedName name="Excel_BuiltIn_Print_Area_1_1_1_1_4">#REF!</definedName>
    <definedName name="Excel_BuiltIn_Print_Area_1_1_1_1_5">#REF!</definedName>
    <definedName name="Excel_BuiltIn_Print_Area_1_1_1_1_6">#REF!</definedName>
    <definedName name="Excel_BuiltIn_Print_Area_1_1_1_1_7">#REF!</definedName>
    <definedName name="Excel_BuiltIn_Print_Area_1_1_1_1_8">#REF!</definedName>
    <definedName name="Excel_BuiltIn_Print_Area_1_1_1_1_9">#REF!</definedName>
    <definedName name="Excel_BuiltIn_Print_Area_1_1_1_4">#REF!</definedName>
    <definedName name="Excel_BuiltIn_Print_Area_1_1_4">#REF!</definedName>
    <definedName name="Excel_BuiltIn_Print_Area_1_4">#REF!</definedName>
    <definedName name="Excel_BuiltIn_Print_Area_1_5">#REF!</definedName>
    <definedName name="Excel_BuiltIn_Print_Area_1_6">#REF!</definedName>
    <definedName name="Excel_BuiltIn_Print_Area_1_7">#REF!</definedName>
    <definedName name="Excel_BuiltIn_Print_Area_1_8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0">#REF!</definedName>
    <definedName name="Excel_BuiltIn_Print_Area_31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H_A">#REF!</definedName>
    <definedName name="EXH_B">#REF!</definedName>
    <definedName name="EXH_C">#REF!</definedName>
    <definedName name="EXH_D">#REF!</definedName>
    <definedName name="Exh_E">#REF!</definedName>
    <definedName name="EXH_E1">#REF!</definedName>
    <definedName name="Expenses2">#REF!</definedName>
    <definedName name="express_s">#REF!</definedName>
    <definedName name="exr">#REF!</definedName>
    <definedName name="FaceValue">#REF!</definedName>
    <definedName name="FaxBroadcastData">#REF!</definedName>
    <definedName name="FBDirectGM">#REF!</definedName>
    <definedName name="FBReferralGM">#REF!</definedName>
    <definedName name="FBWholesaleGM">#REF!</definedName>
    <definedName name="FFAPPCOLNAME1_1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1">#REF!</definedName>
    <definedName name="FFAPPCOLNAME6_2">#REF!</definedName>
    <definedName name="FFAPPCOLNAME7_1">#REF!</definedName>
    <definedName name="FFAPPCOLNAME7_2">#REF!</definedName>
    <definedName name="FFAPPCOLNAME8_1">#REF!</definedName>
    <definedName name="FFAPPCOLNAME8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1">#REF!</definedName>
    <definedName name="FFSEGMENT6_2">#REF!</definedName>
    <definedName name="FFSEGMENT7_1">#REF!</definedName>
    <definedName name="FFSEGMENT7_2">#REF!</definedName>
    <definedName name="FFSEGMENT8_1">#REF!</definedName>
    <definedName name="FFSEGMENT8_2">#REF!</definedName>
    <definedName name="FFSEGSEPARATOR1">#REF!</definedName>
    <definedName name="FFSEGSEPARATOR2">#REF!</definedName>
    <definedName name="fghff">#REF!</definedName>
    <definedName name="fghfgf">#REF!</definedName>
    <definedName name="FIELD">#N/A</definedName>
    <definedName name="FIELDNAMECOLUMN1">#REF!</definedName>
    <definedName name="FIELDNAMECOLUMN2">#REF!</definedName>
    <definedName name="FIELDNAMEROW1">#REF!</definedName>
    <definedName name="FIELDNAMEROW2">#REF!</definedName>
    <definedName name="filename">#REF!</definedName>
    <definedName name="filter">#REF!</definedName>
    <definedName name="Filter_Unit">#REF!</definedName>
    <definedName name="filterouta1">#REF!</definedName>
    <definedName name="Financial">#REF!</definedName>
    <definedName name="Firm">#REF!</definedName>
    <definedName name="FIRSTDATAROW1">#REF!</definedName>
    <definedName name="FIRSTDATAROW2">#REF!</definedName>
    <definedName name="FITPayable">#REF!</definedName>
    <definedName name="FITProvision">#REF!</definedName>
    <definedName name="FLOW">#REF!</definedName>
    <definedName name="FNAME">#REF!</definedName>
    <definedName name="FNDNAM1">#REF!</definedName>
    <definedName name="FNDNAM2">#REF!</definedName>
    <definedName name="FNDUSERID1">#REF!</definedName>
    <definedName name="FNDUSERID2">#REF!</definedName>
    <definedName name="forex">#REF!</definedName>
    <definedName name="formata1">#REF!</definedName>
    <definedName name="formata2">#REF!</definedName>
    <definedName name="Founders">#REF!</definedName>
    <definedName name="Freq_x_Sev">#REF!</definedName>
    <definedName name="From">#REF!</definedName>
    <definedName name="FSA_ASSERTION_SELECTED">#REF!</definedName>
    <definedName name="FSA_ASSERTIONS">#REF!</definedName>
    <definedName name="FSA_MATERIALITY">#REF!</definedName>
    <definedName name="FSoPacific" hidden="1">{"BS",#N/A,FALSE,"USA"}</definedName>
    <definedName name="FULL">#N/A</definedName>
    <definedName name="FUNCTIONALCURRENCY1">#REF!</definedName>
    <definedName name="FUNCTIONALCURRENCY2">#REF!</definedName>
    <definedName name="FX">#REF!</definedName>
    <definedName name="FX_Rates">#REF!</definedName>
    <definedName name="FYFOUR">#REF!</definedName>
    <definedName name="FYTWO">#REF!</definedName>
    <definedName name="gbp">#REF!</definedName>
    <definedName name="GetBalFunct">#REF!</definedName>
    <definedName name="ghtf">#REF!</definedName>
    <definedName name="Giftco_number">#REF!</definedName>
    <definedName name="GKWPrice">#REF!</definedName>
    <definedName name="gmail">#REF!</definedName>
    <definedName name="Goldenberg">#REF!</definedName>
    <definedName name="gooch" hidden="1">{#N/A,#N/A,FALSE,"Projections";#N/A,#N/A,FALSE,"Multiples Valuation";#N/A,#N/A,FALSE,"LBO";#N/A,#N/A,FALSE,"Multiples_Sensitivity";#N/A,#N/A,FALSE,"Summary"}</definedName>
    <definedName name="google_savings">#REF!</definedName>
    <definedName name="GRADE">#REF!</definedName>
    <definedName name="Group_Name">#REF!</definedName>
    <definedName name="GTL_Colored_Diamond_Grading">#REF!</definedName>
    <definedName name="GTL_Diamond_Grading">#REF!</definedName>
    <definedName name="Guideline" hidden="1">#REF!</definedName>
    <definedName name="GWYUID1">#REF!</definedName>
    <definedName name="GWYUID2">#REF!</definedName>
    <definedName name="Hard_code">#REF!</definedName>
    <definedName name="HC_Criteria">#REF!</definedName>
    <definedName name="HC_Database">#REF!</definedName>
    <definedName name="hc_other_syns">#REF!</definedName>
    <definedName name="Headcount_Adds">#REF!</definedName>
    <definedName name="Headcount1">#REF!</definedName>
    <definedName name="Headings">#REF!</definedName>
    <definedName name="helo9" hidden="1">#REF!</definedName>
    <definedName name="help" hidden="1">#REF!</definedName>
    <definedName name="HIREDT">#REF!</definedName>
    <definedName name="HistEstPeriod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ubb_Veh">#REF!</definedName>
    <definedName name="hw_type">#REF!</definedName>
    <definedName name="IDN">#REF!</definedName>
    <definedName name="IFN">#REF!</definedName>
    <definedName name="IMPORTDFF1">#REF!</definedName>
    <definedName name="IMPORTDFF2">#REF!</definedName>
    <definedName name="inactive">#REF!</definedName>
    <definedName name="Inc_Heading">#REF!</definedName>
    <definedName name="Inc_SelFactor">#REF!</definedName>
    <definedName name="IncCts_Heading">#REF!</definedName>
    <definedName name="IncCts_SelFactors">#REF!</definedName>
    <definedName name="INCOME">#N/A</definedName>
    <definedName name="income_tax">#REF!</definedName>
    <definedName name="Incremental_ALAE_Ratio">#REF!</definedName>
    <definedName name="Incremental_Counts">#REF!</definedName>
    <definedName name="Incremental_Paid_Loss">#REF!</definedName>
    <definedName name="IncSev_Heading">#REF!</definedName>
    <definedName name="IncSev_SelFactors">#REF!</definedName>
    <definedName name="Incurred_Counts">#REF!</definedName>
    <definedName name="Incurred_Loss_LDM">#REF!</definedName>
    <definedName name="Incurred_Severity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tial_Exp">#REF!</definedName>
    <definedName name="InitialCP">#REF!</definedName>
    <definedName name="Input">#REF!</definedName>
    <definedName name="Input_TermsConditions">#REF!</definedName>
    <definedName name="Inscription_Services">#REF!</definedName>
    <definedName name="int_cash">#REF!</definedName>
    <definedName name="intlrevshare">#REF!</definedName>
    <definedName name="InvestMkt">#REF!</definedName>
    <definedName name="InvHistTempData">#REF!</definedName>
    <definedName name="IPE_COMPLEXITY">#REF!</definedName>
    <definedName name="IPE_COMPLEXITY_SELECTED">#REF!</definedName>
    <definedName name="IPE_IMPORTANCE">#REF!</definedName>
    <definedName name="IPE_IMPORTANCE_SELECTED">#REF!</definedName>
    <definedName name="IPE_Tested">#REF!</definedName>
    <definedName name="IPE_VOLUM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MOODYS" hidden="1">"IQ_BONDRATING_MOODYS"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41046.7535532407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_EUR_Dates">#REF!</definedName>
    <definedName name="IR_EUR_DF">#REF!</definedName>
    <definedName name="is">#REF!</definedName>
    <definedName name="j" hidden="1">#REF!</definedName>
    <definedName name="JAN10TOT">#REF!</definedName>
    <definedName name="JAN17TOT">#REF!</definedName>
    <definedName name="JE">#REF!</definedName>
    <definedName name="jftf">#REF!</definedName>
    <definedName name="jjjj">#REF!</definedName>
    <definedName name="jlaf" hidden="1">#REF!</definedName>
    <definedName name="Johnson">#REF!</definedName>
    <definedName name="JR_PAGE_ANCHOR_0_1">#REF!</definedName>
    <definedName name="JR_PAGE_ANCHOR_0_2">#REF!</definedName>
    <definedName name="JR_PAGE_ANCHOR_0_3">#REF!</definedName>
    <definedName name="K2__CVPARAMS__" hidden="1">"Any by Any!$B$17:$C$38;"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134217783</definedName>
    <definedName name="K2_WBEVMODE" hidden="1">-1</definedName>
    <definedName name="KD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els">#REF!,#REF!,#REF!</definedName>
    <definedName name="LABELTEXTCOLUMN1">#REF!</definedName>
    <definedName name="LABELTEXTCOLUMN2">#REF!</definedName>
    <definedName name="LABELTEXTROW1">#REF!</definedName>
    <definedName name="LABELTEXTROW2">#REF!</definedName>
    <definedName name="Liabilities2">#REF!</definedName>
    <definedName name="ListOffset" hidden="1">1</definedName>
    <definedName name="lllllllllllllllllllllllllll">#REF!</definedName>
    <definedName name="lllpppop">#REF!</definedName>
    <definedName name="LNAME">#REF!</definedName>
    <definedName name="LOB">#REF!</definedName>
    <definedName name="LOOKUP">#REF!</definedName>
    <definedName name="lookupeeo">#REF!</definedName>
    <definedName name="Lotzi_AC">#REF!</definedName>
    <definedName name="Lotzi_ACar">#REF!</definedName>
    <definedName name="LOV">#REF!,#REF!,#REF!,#REF!,#REF!,#REF!</definedName>
    <definedName name="LR_Method">#REF!</definedName>
    <definedName name="LRDT">#REF!</definedName>
    <definedName name="LSRange1">#REF!</definedName>
    <definedName name="LSRange1Balance">#REF!</definedName>
    <definedName name="LSRange2">#REF!</definedName>
    <definedName name="LSRange2Balance">#REF!</definedName>
    <definedName name="LSRange3">#REF!</definedName>
    <definedName name="LSRange3Balance">#REF!</definedName>
    <definedName name="LSRange4">#REF!</definedName>
    <definedName name="LSRange4Balance">#REF!</definedName>
    <definedName name="LSRange5">#REF!</definedName>
    <definedName name="LSRange5Balance">#REF!</definedName>
    <definedName name="LSRange6">#REF!</definedName>
    <definedName name="LSRange6Balance">#REF!</definedName>
    <definedName name="LSRange7">#REF!</definedName>
    <definedName name="LSRange7Balance">#REF!</definedName>
    <definedName name="LYDate">#REF!</definedName>
    <definedName name="LYN">#REF!</definedName>
    <definedName name="LYPCT">#REF!</definedName>
    <definedName name="master_def">#REF!</definedName>
    <definedName name="MATERIALITY_SELECTED">#REF!</definedName>
    <definedName name="May">#REF!</definedName>
    <definedName name="MeanReversionSpeedCR">#REF!</definedName>
    <definedName name="MeanReversionSpeedIR">#REF!</definedName>
    <definedName name="MetaSet">#REF!</definedName>
    <definedName name="MISC">#REF!</definedName>
    <definedName name="ModelSelection">#REF!</definedName>
    <definedName name="MoneyMkt">#REF!</definedName>
    <definedName name="Month">#REF!</definedName>
    <definedName name="Month1_Share">#REF!</definedName>
    <definedName name="Month1_Share_Svc">#REF!</definedName>
    <definedName name="MonthNo">#REF!</definedName>
    <definedName name="my_offset">#REF!</definedName>
    <definedName name="MyArray">#REF!</definedName>
    <definedName name="n\" hidden="1">{#N/A,#N/A,FALSE,"Projections";#N/A,#N/A,FALSE,"Multiples Valuation";#N/A,#N/A,FALSE,"LBO";#N/A,#N/A,FALSE,"Multiples_Sensitivity";#N/A,#N/A,FALSE,"Summary"}</definedName>
    <definedName name="Name">#REF!</definedName>
    <definedName name="name1">#REF!</definedName>
    <definedName name="Names">#REF!</definedName>
    <definedName name="Natural">#REF!</definedName>
    <definedName name="NaturalDescription">#REF!</definedName>
    <definedName name="NaturalName">#REF!</definedName>
    <definedName name="Net_Sales">#REF!</definedName>
    <definedName name="NetDefTaxAsset">#REF!</definedName>
    <definedName name="netsuite_date_range">#REF!</definedName>
    <definedName name="netsuite_exch_flag_range">#REF!</definedName>
    <definedName name="netsuite_ordervalue_range">#REF!</definedName>
    <definedName name="NewQtr">#REF!</definedName>
    <definedName name="Nightmare">#REF!</definedName>
    <definedName name="NOOFFFSEGMENTS1">#REF!</definedName>
    <definedName name="NOOFFFSEGMENTS2">#REF!</definedName>
    <definedName name="NOTES">#N/A</definedName>
    <definedName name="NumberOfBonds">#REF!</definedName>
    <definedName name="NUMBEROFDETAILFIELDS1">#REF!</definedName>
    <definedName name="NUMBEROFDETAILFIELDS2">#REF!</definedName>
    <definedName name="NUMBEROFHEADERFIELDS1">#REF!</definedName>
    <definedName name="NUMBEROFHEADERFIELDS2">#REF!</definedName>
    <definedName name="NvsASD">"V1999-09-30"</definedName>
    <definedName name="NvsAutoDrillOk">"VN"</definedName>
    <definedName name="NvsElapsedTime">0.00152013888873626</definedName>
    <definedName name="NvsEndDate">TODAY()</definedName>
    <definedName name="NvsEndTime">36480.39014375</definedName>
    <definedName name="NvsInstSpec">"%"</definedName>
    <definedName name="NvsLayoutType">"M3"</definedName>
    <definedName name="NvsNplSpec">"%,X,RPT.DEPTID.nPlosion,CPF..nPlosion"</definedName>
    <definedName name="NvsPanelEffdt">"V1999-07-12"</definedName>
    <definedName name="NvsPanelSetid">"VSHARE"</definedName>
    <definedName name="NvsReqBU">"VUS001"</definedName>
    <definedName name="NvsReqBUOnly">"VN"</definedName>
    <definedName name="NvsTransLed">"VN"</definedName>
    <definedName name="NvsTreeASD">"V1999-09-30"</definedName>
    <definedName name="NvsValTbl.ACCOUNT">"GL_ACCOUNT_TBL"</definedName>
    <definedName name="NvsValTbl.DEPTID">"DEPARTMENT_TBL"</definedName>
    <definedName name="NvsValTbl.PRODUCT">"PRODUCT_TBL"</definedName>
    <definedName name="OCCUP">#REF!</definedName>
    <definedName name="Oct2013TB">#REF!</definedName>
    <definedName name="Open_Reported">#REF!</definedName>
    <definedName name="Open_to_Incurred">#REF!</definedName>
    <definedName name="Order_Count">#REF!</definedName>
    <definedName name="ot">#REF!</definedName>
    <definedName name="Other">#REF!</definedName>
    <definedName name="overture_s">#REF!</definedName>
    <definedName name="page1">#REF!</definedName>
    <definedName name="Paid">#REF!</definedName>
    <definedName name="Paid_ALAE">#REF!</definedName>
    <definedName name="Paid_BF">#REF!</definedName>
    <definedName name="Paid_Counts">#REF!</definedName>
    <definedName name="Paid_Incurred">#REF!</definedName>
    <definedName name="Paid_Loss_LDM">#REF!</definedName>
    <definedName name="Paid_Loss_to_Paid_ALAE">#REF!</definedName>
    <definedName name="Paid_Reported">#REF!</definedName>
    <definedName name="Paid_Severity">#REF!</definedName>
    <definedName name="Paid_Ultimate">#REF!</definedName>
    <definedName name="Pay_Date_10072011">#REF!</definedName>
    <definedName name="PC_1">#REF!</definedName>
    <definedName name="Pd_BS">#REF!</definedName>
    <definedName name="Pd_Heading">#REF!</definedName>
    <definedName name="Pd_Inc_Severity">#REF!</definedName>
    <definedName name="Pd_SelFactors">#REF!</definedName>
    <definedName name="PdALAE_Heading">#REF!</definedName>
    <definedName name="PdALAE_SelFactors">#REF!</definedName>
    <definedName name="PdCts_Heading">#REF!</definedName>
    <definedName name="PdCts_SelFactors">#REF!</definedName>
    <definedName name="PdOffset">#REF!</definedName>
    <definedName name="PdSev_Heading">#REF!</definedName>
    <definedName name="PdSev_SelFactors">#REF!</definedName>
    <definedName name="PdtoPd_Heading">#REF!</definedName>
    <definedName name="PdtoPd_SelFactors">#REF!</definedName>
    <definedName name="PER">#REF!</definedName>
    <definedName name="perc">#REF!</definedName>
    <definedName name="Perform_Tests_of_Details_on_Operating_Expense_Transactions">#REF!</definedName>
    <definedName name="Period">#REF!</definedName>
    <definedName name="PERIODSETNAME1">#REF!</definedName>
    <definedName name="PERIODSETNAME2">#REF!</definedName>
    <definedName name="PeriodsInYear">#REF!</definedName>
    <definedName name="PerMinuteCostingData">#REF!</definedName>
    <definedName name="PerPageCostingData">#REF!</definedName>
    <definedName name="pers_cost_incr">#REF!</definedName>
    <definedName name="PI">#REF!</definedName>
    <definedName name="PopCache_GL_INTERFACE_REFERENCE7" hidden="1">#REF!</definedName>
    <definedName name="POSTERRORSTOSUSP1">#REF!</definedName>
    <definedName name="POSTERRORSTOSUSP2">#REF!</definedName>
    <definedName name="PP">#REF!</definedName>
    <definedName name="PPC_Incr">#REF!</definedName>
    <definedName name="PreInsurance">#REF!</definedName>
    <definedName name="PreMgmt">#REF!</definedName>
    <definedName name="PremRec">#REF!</definedName>
    <definedName name="PremTaxExp">#REF!</definedName>
    <definedName name="Prepaid">#REF!</definedName>
    <definedName name="PrepaidExp">#REF!</definedName>
    <definedName name="prices">#REF!</definedName>
    <definedName name="primtbl">#REF!</definedName>
    <definedName name="PRINT">#REF!</definedName>
    <definedName name="_xlnm.Print_Area">#REF!</definedName>
    <definedName name="_xlnm.Print_Titles">#REF!</definedName>
    <definedName name="PRINT2">#N/A</definedName>
    <definedName name="PRINT3">#N/A</definedName>
    <definedName name="PRINT4">#N/A</definedName>
    <definedName name="PRINT5">#N/A</definedName>
    <definedName name="PrintingRanges">#REF!</definedName>
    <definedName name="PrintingRanges1">#REF!</definedName>
    <definedName name="PrintingRanges2">#REF!</definedName>
    <definedName name="Prior1">#REF!</definedName>
    <definedName name="Prior2">#REF!</definedName>
    <definedName name="PriorDay">#REF!</definedName>
    <definedName name="PriorMonth">#REF!</definedName>
    <definedName name="PriorMonthNo">#REF!</definedName>
    <definedName name="PriorQtr">#REF!</definedName>
    <definedName name="PriorYear">#REF!</definedName>
    <definedName name="PriorYearNo">#REF!</definedName>
    <definedName name="PriorYr">#REF!</definedName>
    <definedName name="PriorYrQtr">#REF!</definedName>
    <definedName name="prioryt">#REF!</definedName>
    <definedName name="PRODUCT">#REF!</definedName>
    <definedName name="Profit_Center">#REF!</definedName>
    <definedName name="Project">#REF!</definedName>
    <definedName name="Project_Page">#REF!</definedName>
    <definedName name="Projected">#REF!</definedName>
    <definedName name="pull01">#REF!</definedName>
    <definedName name="pull02">#REF!</definedName>
    <definedName name="pull03">#REF!</definedName>
    <definedName name="pull04">#REF!</definedName>
    <definedName name="pull05">#REF!</definedName>
    <definedName name="pull06">#REF!</definedName>
    <definedName name="pull07">#REF!</definedName>
    <definedName name="pull08">#REF!</definedName>
    <definedName name="pull09">#REF!</definedName>
    <definedName name="Pull1">#REF!</definedName>
    <definedName name="pull10">#REF!</definedName>
    <definedName name="pull11">#REF!</definedName>
    <definedName name="pull12">#REF!</definedName>
    <definedName name="pull13">#REF!</definedName>
    <definedName name="pull14">#REF!</definedName>
    <definedName name="pull15">#REF!</definedName>
    <definedName name="pull16">#REF!</definedName>
    <definedName name="pull17">#REF!</definedName>
    <definedName name="pull18">#REF!</definedName>
    <definedName name="pull19">#REF!</definedName>
    <definedName name="pull20">#REF!</definedName>
    <definedName name="pull21">#REF!</definedName>
    <definedName name="pull22">#REF!</definedName>
    <definedName name="pull23">#REF!</definedName>
    <definedName name="pull24">#REF!</definedName>
    <definedName name="pull25">#REF!</definedName>
    <definedName name="pull26">#REF!</definedName>
    <definedName name="pull27">#REF!</definedName>
    <definedName name="pull28">#REF!</definedName>
    <definedName name="Pull3">#REF!</definedName>
    <definedName name="pull31">#REF!</definedName>
    <definedName name="pull32">#REF!</definedName>
    <definedName name="pull35">#REF!</definedName>
    <definedName name="pull38">#REF!</definedName>
    <definedName name="Pull4">#REF!</definedName>
    <definedName name="pull40">#REF!</definedName>
    <definedName name="pull41">#REF!</definedName>
    <definedName name="pull46">#REF!</definedName>
    <definedName name="pull47">#REF!</definedName>
    <definedName name="pull49">#REF!</definedName>
    <definedName name="Pull5">#REF!</definedName>
    <definedName name="pull57">#REF!</definedName>
    <definedName name="pull8">#REF!</definedName>
    <definedName name="pull9">#REF!</definedName>
    <definedName name="py_net_income">#REF!</definedName>
    <definedName name="py_ret_earn_beg">#REF!</definedName>
    <definedName name="py_retained_earnings">#REF!</definedName>
    <definedName name="py_share_equity">#REF!</definedName>
    <definedName name="Q22009AccInt">#REF!</definedName>
    <definedName name="Q2Booked">#REF!</definedName>
    <definedName name="Q2Firm">#REF!</definedName>
    <definedName name="Q2Projected">#REF!</definedName>
    <definedName name="Q3_Traffic_Sever_Revenue_by_Region">#REF!</definedName>
    <definedName name="Q4_OK">#REF!</definedName>
    <definedName name="Qcase">#REF!</definedName>
    <definedName name="Qcasetext">#REF!</definedName>
    <definedName name="Qtr">#REF!</definedName>
    <definedName name="QtrLeft">#REF!</definedName>
    <definedName name="QtrPercent">#REF!</definedName>
    <definedName name="Range_High_1">#REF!</definedName>
    <definedName name="Range_Low_1">#REF!</definedName>
    <definedName name="Range_Name">#REF!</definedName>
    <definedName name="Rate_Change">#REF!</definedName>
    <definedName name="Rating">#REF!</definedName>
    <definedName name="RBN">#REF!</definedName>
    <definedName name="RBU">#REF!</definedName>
    <definedName name="rDate2">#REF!</definedName>
    <definedName name="Recovery">#REF!</definedName>
    <definedName name="RecSwitch">#REF!</definedName>
    <definedName name="Ref">#REF!</definedName>
    <definedName name="Ref.">#REF!,#REF!</definedName>
    <definedName name="Ref_10">#REF!</definedName>
    <definedName name="Ref_12">#REF!,#REF!</definedName>
    <definedName name="Ref_15">#REF!</definedName>
    <definedName name="Ref_16">#REF!</definedName>
    <definedName name="Ref_17">#REF!</definedName>
    <definedName name="Ref_19">#REF!</definedName>
    <definedName name="Ref_22">#REF!</definedName>
    <definedName name="Ref_26">#REF!</definedName>
    <definedName name="Ref_27">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6">#REF!</definedName>
    <definedName name="Ref_39">#REF!</definedName>
    <definedName name="Ref_4">#REF!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45">#REF!</definedName>
    <definedName name="Ref_48">#REF!</definedName>
    <definedName name="Ref_49">#REF!</definedName>
    <definedName name="Ref_5">#REF!</definedName>
    <definedName name="Ref_56">#REF!</definedName>
    <definedName name="Ref_57">#REF!</definedName>
    <definedName name="Ref_59">#REF!</definedName>
    <definedName name="Ref_60">#REF!</definedName>
    <definedName name="Ref_61">#REF!</definedName>
    <definedName name="Ref_62">#REF!</definedName>
    <definedName name="Ref_63">#REF!</definedName>
    <definedName name="Ref_64">#REF!</definedName>
    <definedName name="Ref_65">#REF!</definedName>
    <definedName name="Ref_66">#REF!</definedName>
    <definedName name="Ref_67">#REF!</definedName>
    <definedName name="Ref_68">#REF!</definedName>
    <definedName name="Ref_69">#REF!</definedName>
    <definedName name="Ref_7">#REF!</definedName>
    <definedName name="Ref_70">#REF!</definedName>
    <definedName name="Ref_71">#REF!</definedName>
    <definedName name="Ref_72">#REF!</definedName>
    <definedName name="Ref_73">#REF!</definedName>
    <definedName name="Ref_74">#REF!</definedName>
    <definedName name="Ref_75">#REF!</definedName>
    <definedName name="Ref_76">#REF!</definedName>
    <definedName name="Ref_77">#REF!</definedName>
    <definedName name="Ref_78">#REF!</definedName>
    <definedName name="Ref_79">#REF!</definedName>
    <definedName name="Ref_9">#REF!</definedName>
    <definedName name="Renamed">#REF!</definedName>
    <definedName name="RENT">#REF!</definedName>
    <definedName name="report_type">#REF!</definedName>
    <definedName name="Reported_BF">#REF!</definedName>
    <definedName name="Reported_Counts">#REF!</definedName>
    <definedName name="ReportTitle1">#REF!</definedName>
    <definedName name="ReportTitle3">#REF!</definedName>
    <definedName name="ReportVersion">#REF!</definedName>
    <definedName name="RESPONSIBILITYAPPLICATIONID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ults">#REF!</definedName>
    <definedName name="RetainedEarnings21">#REF!</definedName>
    <definedName name="Retrieve">#REF!</definedName>
    <definedName name="Retrieve_intl">#REF!</definedName>
    <definedName name="returns_pivot">#REF!</definedName>
    <definedName name="Rev_Date">#REF!</definedName>
    <definedName name="Revenue2">#REF!</definedName>
    <definedName name="RevenueAnalytics">#REF!</definedName>
    <definedName name="RevenueAnalyticsOne">#REF!</definedName>
    <definedName name="RevenueAnalyticsTwo">#REF!</definedName>
    <definedName name="RFBCDIR">#REF!</definedName>
    <definedName name="RFBCREF">#REF!</definedName>
    <definedName name="RFBCWS">#REF!</definedName>
    <definedName name="RFBT">#REF!</definedName>
    <definedName name="rfrwqrqw" hidden="1">#REF!</definedName>
    <definedName name="RID">#REF!</definedName>
    <definedName name="Risk">#REF!</definedName>
    <definedName name="RMB">#REF!</definedName>
    <definedName name="rmb_ex">#REF!</definedName>
    <definedName name="rmb_ex2">#REF!</definedName>
    <definedName name="RMFAFFP">#REF!</definedName>
    <definedName name="RMFDIRP">#REF!</definedName>
    <definedName name="RMFGRP">#REF!</definedName>
    <definedName name="RMFPREMP">#REF!</definedName>
    <definedName name="RMM_LEVEL">#REF!</definedName>
    <definedName name="RMM_LEVEL_SELECTED">#REF!</definedName>
    <definedName name="RowDetails1">#REF!</definedName>
    <definedName name="RowDetails3">#REF!</definedName>
    <definedName name="rowgroup">#REF!</definedName>
    <definedName name="rowsegment">#REF!</definedName>
    <definedName name="ROWSTOUPLOAD1">#REF!</definedName>
    <definedName name="ROWSTOUPLOAD2">#REF!</definedName>
    <definedName name="RptCts_Heading">#REF!</definedName>
    <definedName name="RptCts_SelFactors">#REF!</definedName>
    <definedName name="RT_Vehicle">#REF!</definedName>
    <definedName name="RTT">#REF!</definedName>
    <definedName name="RunByBUCLHRange">#REF!</definedName>
    <definedName name="RunByEngRange">#REF!</definedName>
    <definedName name="RVFCARP">#REF!</definedName>
    <definedName name="RVFDIRP">#REF!</definedName>
    <definedName name="RVFGRP">#REF!</definedName>
    <definedName name="RVFREFP">#REF!</definedName>
    <definedName name="RVFWLSPP">#REF!</definedName>
    <definedName name="s">{"page1",#N/A,FALSE,"GIRLBO";"page2",#N/A,FALSE,"GIRLBO";"page3",#N/A,FALSE,"GIRLBO";"page4",#N/A,FALSE,"GIRLBO";"page5",#N/A,FALSE,"GIRLBO"}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0">#REF!</definedName>
    <definedName name="S_LSRange10Balance">#REF!</definedName>
    <definedName name="S_LSRange10Balance1">#REF!</definedName>
    <definedName name="S_LSRange10Balance2">#REF!</definedName>
    <definedName name="S_LSRange10Balance3">#REF!</definedName>
    <definedName name="S_LSRange11">#REF!</definedName>
    <definedName name="S_LSRange11Balance">#REF!</definedName>
    <definedName name="S_LSRange11Balance1">#REF!</definedName>
    <definedName name="S_LSRange11Balance2">#REF!</definedName>
    <definedName name="S_LSRange11Balance3">#REF!</definedName>
    <definedName name="S_LSRange12">#REF!</definedName>
    <definedName name="S_LSRange12Balance">#REF!</definedName>
    <definedName name="S_LSRange12Balance1">#REF!</definedName>
    <definedName name="S_LSRange12Balance2">#REF!</definedName>
    <definedName name="S_LSRange12Balance3">#REF!</definedName>
    <definedName name="S_LSRange13">#REF!</definedName>
    <definedName name="S_LSRange13Balance">#REF!</definedName>
    <definedName name="S_LSRange13Balance1">#REF!</definedName>
    <definedName name="S_LSRange13Balance2">#REF!</definedName>
    <definedName name="S_LSRange13Balance3">#REF!</definedName>
    <definedName name="S_LSRange14">#REF!</definedName>
    <definedName name="S_LSRange14Balance">#REF!</definedName>
    <definedName name="S_LSRange14Balance1">#REF!</definedName>
    <definedName name="S_LSRange14Balance2">#REF!</definedName>
    <definedName name="S_LSRange14Balance3">#REF!</definedName>
    <definedName name="S_LSRange15">#REF!</definedName>
    <definedName name="S_LSRange15Balance">#REF!</definedName>
    <definedName name="S_LSRange15Balance1">#REF!</definedName>
    <definedName name="S_LSRange15Balance2">#REF!</definedName>
    <definedName name="S_LSRange15Balance3">#REF!</definedName>
    <definedName name="S_LSRange16">#REF!</definedName>
    <definedName name="S_LSRange16Balance">#REF!</definedName>
    <definedName name="S_LSRange16Balance1">#REF!</definedName>
    <definedName name="S_LSRange16Balance2">#REF!</definedName>
    <definedName name="S_LSRange16Balance3">#REF!</definedName>
    <definedName name="S_LSRange17">#REF!</definedName>
    <definedName name="S_LSRange17Balance">#REF!</definedName>
    <definedName name="S_LSRange17Balance1">#REF!</definedName>
    <definedName name="S_LSRange17Balance2">#REF!</definedName>
    <definedName name="S_LSRange17Balance3">#REF!</definedName>
    <definedName name="S_LSRange18">#REF!</definedName>
    <definedName name="S_LSRange18Balance">#REF!</definedName>
    <definedName name="S_LSRange18Balance1">#REF!</definedName>
    <definedName name="S_LSRange18Balance2">#REF!</definedName>
    <definedName name="S_LSRange18Balance3">#REF!</definedName>
    <definedName name="S_LSRange19">#REF!</definedName>
    <definedName name="S_LSRange19Balance">#REF!</definedName>
    <definedName name="S_LSRange19Balance1">#REF!</definedName>
    <definedName name="S_LSRange19Balance2">#REF!</definedName>
    <definedName name="S_LSRange19Balance3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0">#REF!</definedName>
    <definedName name="S_LSRange20Balance">#REF!</definedName>
    <definedName name="S_LSRange20Balance1">#REF!</definedName>
    <definedName name="S_LSRange20Balance2">#REF!</definedName>
    <definedName name="S_LSRange20Balance3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LSRange9">#REF!</definedName>
    <definedName name="S_LSRange9Balance">#REF!</definedName>
    <definedName name="S_LSRange9Balance1">#REF!</definedName>
    <definedName name="S_LSRange9Balance2">#REF!</definedName>
    <definedName name="S_LSRange9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2ROW11">#REF!</definedName>
    <definedName name="S2ROW13">#REF!</definedName>
    <definedName name="S2ROW7">#REF!</definedName>
    <definedName name="S2ROW9">#REF!</definedName>
    <definedName name="S3ROW10">#REF!</definedName>
    <definedName name="S3ROW12">#REF!</definedName>
    <definedName name="S3ROW2">#REF!</definedName>
    <definedName name="S3ROW3">#REF!</definedName>
    <definedName name="s3row3557">#REF!</definedName>
    <definedName name="S3ROW5">#REF!</definedName>
    <definedName name="S3ROW7">#REF!</definedName>
    <definedName name="Salaries">#REF!</definedName>
    <definedName name="SALARY">#REF!</definedName>
    <definedName name="Salary_Incr">#REF!</definedName>
    <definedName name="SALES">#REF!</definedName>
    <definedName name="sales_tax">#REF!</definedName>
    <definedName name="SalesCOSData">#REF!</definedName>
    <definedName name="SalesPriceDirect">#REF!</definedName>
    <definedName name="SalesPriceReferral">#REF!</definedName>
    <definedName name="SalesPriceWS">#REF!</definedName>
    <definedName name="SampleSize_Comment">#REF!</definedName>
    <definedName name="savings">#REF!</definedName>
    <definedName name="SCD">#REF!</definedName>
    <definedName name="Scenario1">#REF!</definedName>
    <definedName name="Scenario2">#REF!</definedName>
    <definedName name="Schedule_A">#REF!</definedName>
    <definedName name="Schedule_B">#REF!</definedName>
    <definedName name="Schedule_C">#REF!</definedName>
    <definedName name="Schedule_D">#REF!</definedName>
    <definedName name="Schedule_E">#REF!</definedName>
    <definedName name="Schedule_F">#REF!</definedName>
    <definedName name="Schedule_G">#REF!</definedName>
    <definedName name="SCN">#REF!</definedName>
    <definedName name="sd_s">#REF!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egDesc">#REF!,#REF!</definedName>
    <definedName name="sencount" hidden="1">1</definedName>
    <definedName name="Send">#REF!</definedName>
    <definedName name="Sequential_Group">#REF!</definedName>
    <definedName name="Sequential_Segment">#REF!</definedName>
    <definedName name="Sequential_sort">#REF!</definedName>
    <definedName name="SETOFBOOKSID1">#REF!</definedName>
    <definedName name="SETOFBOOKSID2">#REF!</definedName>
    <definedName name="SETOFBOOKSNAME1">#REF!</definedName>
    <definedName name="SETOFBOOKSNAME2">#REF!</definedName>
    <definedName name="SFD">#REF!</definedName>
    <definedName name="SFV">#REF!</definedName>
    <definedName name="SharesOutstanding">#REF!</definedName>
    <definedName name="sheet2">CELL("filename")</definedName>
    <definedName name="SHOP_EUR_PHASE">#REF!</definedName>
    <definedName name="SHOP_EUR_VAL">#REF!</definedName>
    <definedName name="SHOP_NA_PHASE">#REF!</definedName>
    <definedName name="SHOP_NA_VAL">#REF!</definedName>
    <definedName name="sig" hidden="1">{#N/A,#N/A,FALSE,"funnel";#N/A,#N/A,FALSE,"AE Summary";#N/A,#N/A,FALSE,"Product Summary"}</definedName>
    <definedName name="signi" hidden="1">{#N/A,#N/A,FALSE,"funnel";#N/A,#N/A,FALSE,"AE Summary";#N/A,#N/A,FALSE,"Product Summary"}</definedName>
    <definedName name="SIZE_MATERIALITY">#REF!</definedName>
    <definedName name="SIZE_VOLUME">#REF!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MFAFFP">#REF!</definedName>
    <definedName name="SMFDIRP">#REF!</definedName>
    <definedName name="SMFGRP">#REF!</definedName>
    <definedName name="SMFPREMP">#REF!</definedName>
    <definedName name="sng" hidden="1">{#N/A,#N/A,FALSE,"Aging Summary";#N/A,#N/A,FALSE,"Ratio Analysis";#N/A,#N/A,FALSE,"Test 120 Day Accts";#N/A,#N/A,FALSE,"Tickmarks"}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ortcol">#REF!</definedName>
    <definedName name="Spec">#REF!</definedName>
    <definedName name="sponsor_s">#REF!</definedName>
    <definedName name="ss" hidden="1">#REF!</definedName>
    <definedName name="StartAY">#REF!</definedName>
    <definedName name="STARTJOURNALIMPORT1">#REF!</definedName>
    <definedName name="STARTJOURNALIMPORT2">#REF!</definedName>
    <definedName name="Statistics">#REF!</definedName>
    <definedName name="Step1_Comment">#REF!</definedName>
    <definedName name="Step2_Comment">#REF!</definedName>
    <definedName name="Step3_Comment">#REF!</definedName>
    <definedName name="STEP4_C">#REF!</definedName>
    <definedName name="Step4_Comment">#REF!</definedName>
    <definedName name="Step5_Comment">#REF!</definedName>
    <definedName name="STEP5_D">#REF!</definedName>
    <definedName name="Step6_Comment">#REF!</definedName>
    <definedName name="STEP6_E">#REF!</definedName>
    <definedName name="Step7_Comment">#REF!</definedName>
    <definedName name="STNotesPay2">#REF!</definedName>
    <definedName name="Stones_Identification">#REF!</definedName>
    <definedName name="SUMMARY_BOOK" hidden="1">{"page1",#N/A,FALSE,"GIRLBO";"page2",#N/A,FALSE,"GIRLBO";"page3",#N/A,FALSE,"GIRLBO";"page4",#N/A,FALSE,"GIRLBO";"page5",#N/A,FALSE,"GIRLBO"}</definedName>
    <definedName name="Supplemental_filter">#REF!</definedName>
    <definedName name="SVFCARP">#REF!</definedName>
    <definedName name="SVFDIRP">#REF!</definedName>
    <definedName name="SVFREFP">#REF!</definedName>
    <definedName name="SVFWLSPP">#REF!</definedName>
    <definedName name="switch">#REF!</definedName>
    <definedName name="SWPVOL_2009Q4">#REF!</definedName>
    <definedName name="SWPVOL_2011Q1">#REF!</definedName>
    <definedName name="SWPVOL_2011Q4">#REF!</definedName>
    <definedName name="SWPVOL_2012Q4">#REF!</definedName>
    <definedName name="SWPVOL_2013Q3">#REF!</definedName>
    <definedName name="Syn_Auct">#REF!</definedName>
    <definedName name="Syn_Case">#REF!</definedName>
    <definedName name="Syn_CPC">#REF!</definedName>
    <definedName name="Syn_Dir">#REF!</definedName>
    <definedName name="Syn_Mail">#REF!</definedName>
    <definedName name="Syn_Media">#REF!</definedName>
    <definedName name="Syn_Mess">#REF!</definedName>
    <definedName name="Syn_SMS">#REF!</definedName>
    <definedName name="T_IND_22641">#REF!</definedName>
    <definedName name="T_IND_22661">#REF!</definedName>
    <definedName name="T_IND_22681">#REF!</definedName>
    <definedName name="T_IND_22701">#REF!</definedName>
    <definedName name="T_IND_22721">#REF!</definedName>
    <definedName name="T_IND_22741">#REF!</definedName>
    <definedName name="T_IND_22791">#REF!</definedName>
    <definedName name="T_IND_22811">#REF!</definedName>
    <definedName name="T_IND_22831">#REF!</definedName>
    <definedName name="T_IND_22851">#REF!</definedName>
    <definedName name="T_IND_22881">#REF!</definedName>
    <definedName name="T_IND_22911">#REF!</definedName>
    <definedName name="T_IND_22931">#REF!</definedName>
    <definedName name="T_IND_22951">#REF!</definedName>
    <definedName name="T_IND_22971">#REF!</definedName>
    <definedName name="T_IND_23041">#REF!</definedName>
    <definedName name="T_IND_23071">#REF!</definedName>
    <definedName name="T_IND_23091">#REF!</definedName>
    <definedName name="T_IND_23111">#REF!</definedName>
    <definedName name="T_IND_23131">#REF!</definedName>
    <definedName name="T_IND_23181">#REF!</definedName>
    <definedName name="T_IND_23201">#REF!</definedName>
    <definedName name="T_IND_23261">#REF!</definedName>
    <definedName name="T_IND_23281">#REF!</definedName>
    <definedName name="T_IND_23381">#REF!</definedName>
    <definedName name="T_IND_23421">#REF!</definedName>
    <definedName name="T_IND_23441">#REF!</definedName>
    <definedName name="T_IND_23461">#REF!</definedName>
    <definedName name="T_IND_23481">#REF!</definedName>
    <definedName name="T_IND_23551">#REF!</definedName>
    <definedName name="T_IND_23611">#REF!</definedName>
    <definedName name="T_IND_23631">#REF!</definedName>
    <definedName name="T_INS_21001">#REF!</definedName>
    <definedName name="T_INS_21021">#REF!</definedName>
    <definedName name="T_INS_21051">#REF!</definedName>
    <definedName name="T_INS_21141">#REF!</definedName>
    <definedName name="T_INS_21181">#REF!</definedName>
    <definedName name="T_INS_2121">#REF!</definedName>
    <definedName name="T_INS_21311">#REF!</definedName>
    <definedName name="T_INS_21341">#REF!</definedName>
    <definedName name="T_INS_21391">#REF!</definedName>
    <definedName name="T_INS_21431">#REF!</definedName>
    <definedName name="T_INS_2151">#REF!</definedName>
    <definedName name="T_INS_21511">#REF!</definedName>
    <definedName name="T_INS_21541">#REF!</definedName>
    <definedName name="T_INS_21571">#REF!</definedName>
    <definedName name="T_INS_21581">#REF!</definedName>
    <definedName name="T_INS_2171">#REF!</definedName>
    <definedName name="T_INS_21891">#REF!</definedName>
    <definedName name="T_INS_21961">#REF!</definedName>
    <definedName name="T_INS_2201">#REF!</definedName>
    <definedName name="T_INS_2221">#REF!</definedName>
    <definedName name="T_INS_2261">#REF!</definedName>
    <definedName name="T_INS_22621">#REF!</definedName>
    <definedName name="T_INS_22651">#REF!</definedName>
    <definedName name="T_INS_22671">#REF!</definedName>
    <definedName name="T_INS_22691">#REF!</definedName>
    <definedName name="T_INS_22711">#REF!</definedName>
    <definedName name="T_INS_22731">#REF!</definedName>
    <definedName name="T_INS_22751">#REF!</definedName>
    <definedName name="T_INS_22801">#REF!</definedName>
    <definedName name="T_INS_22821">#REF!</definedName>
    <definedName name="T_INS_22841">#REF!</definedName>
    <definedName name="T_INS_22861">#REF!</definedName>
    <definedName name="T_INS_22871">#REF!</definedName>
    <definedName name="T_INS_22891">#REF!</definedName>
    <definedName name="T_INS_22921">#REF!</definedName>
    <definedName name="T_INS_22931">#REF!</definedName>
    <definedName name="T_INS_22941">#REF!</definedName>
    <definedName name="T_INS_22951">#REF!</definedName>
    <definedName name="T_INS_22961">#REF!</definedName>
    <definedName name="T_INS_22971">#REF!</definedName>
    <definedName name="T_INS_22981">#REF!</definedName>
    <definedName name="T_INS_23001">#REF!</definedName>
    <definedName name="T_INS_2301">#REF!</definedName>
    <definedName name="T_INS_23051">#REF!</definedName>
    <definedName name="T_INS_23081">#REF!</definedName>
    <definedName name="T_INS_23101">#REF!</definedName>
    <definedName name="T_INS_23121">#REF!</definedName>
    <definedName name="T_INS_23141">#REF!</definedName>
    <definedName name="T_INS_23191">#REF!</definedName>
    <definedName name="T_INS_2321">#REF!</definedName>
    <definedName name="T_INS_23211">#REF!</definedName>
    <definedName name="T_INS_23271">#REF!</definedName>
    <definedName name="T_INS_23291">#REF!</definedName>
    <definedName name="T_INS_23391">#REF!</definedName>
    <definedName name="T_INS_23431">#REF!</definedName>
    <definedName name="T_INS_23451">#REF!</definedName>
    <definedName name="T_INS_23471">#REF!</definedName>
    <definedName name="T_INS_23491">#REF!</definedName>
    <definedName name="T_INS_23561">#REF!</definedName>
    <definedName name="T_INS_2361">#REF!</definedName>
    <definedName name="T_INS_23621">#REF!</definedName>
    <definedName name="T_INS_23641">#REF!</definedName>
    <definedName name="T_INS_2381">#REF!</definedName>
    <definedName name="T_INS_2411">#REF!</definedName>
    <definedName name="T_INS_2471">#REF!</definedName>
    <definedName name="T_INS_2531">#REF!</definedName>
    <definedName name="T_INS_2621">#REF!</definedName>
    <definedName name="T_INS_2691">#REF!</definedName>
    <definedName name="T_INS_2781">#REF!</definedName>
    <definedName name="T_INS_2801">#REF!</definedName>
    <definedName name="T_INS_2871">#REF!</definedName>
    <definedName name="T_INS_2921">#REF!</definedName>
    <definedName name="tac">#REF!</definedName>
    <definedName name="tax">#REF!</definedName>
    <definedName name="TB">#REF!</definedName>
    <definedName name="TEMP">#REF!</definedName>
    <definedName name="TEMPLATENUMBER1">#REF!</definedName>
    <definedName name="TEMPLATENUMBER2">#REF!</definedName>
    <definedName name="TEMPLATESTYLE1">#REF!</definedName>
    <definedName name="TEMPLATESTYLE2">#REF!</definedName>
    <definedName name="TEMPLATETYPE1">#REF!</definedName>
    <definedName name="TEMPLATETYPE2">#REF!</definedName>
    <definedName name="TempTotal">#REF!</definedName>
    <definedName name="test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RangeCount" hidden="1">8</definedName>
    <definedName name="THREE">#REF!</definedName>
    <definedName name="timeseries">#REF!</definedName>
    <definedName name="TITLE">#REF!</definedName>
    <definedName name="TOC_ASSURANCE">#REF!</definedName>
    <definedName name="TOC_ASSURANCE_SELECTED">#REF!</definedName>
    <definedName name="today">#REF!</definedName>
    <definedName name="Total">#REF!</definedName>
    <definedName name="Totals">#REF!</definedName>
    <definedName name="Transactional_1">#REF!</definedName>
    <definedName name="Transactional_2">#REF!</definedName>
    <definedName name="Transactional_3">#REF!</definedName>
    <definedName name="Transactions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ial_Balance">#REF!</definedName>
    <definedName name="tx_roll_BOY">#REF!,#REF!,#REF!,#REF!,#REF!</definedName>
    <definedName name="tx_roll_cy">#REF!,#REF!,#REF!,#REF!</definedName>
    <definedName name="tx_roll_cy_apptsum">#REF!,#REF!,#REF!,#REF!</definedName>
    <definedName name="tx_roll_delete">#REF!,#REF!,#REF!</definedName>
    <definedName name="tx_roll_delete_1">#REF!,#REF!,#REF!</definedName>
    <definedName name="tx_roll_delete_2">#REF!,#REF!,#REF!</definedName>
    <definedName name="tx_roll_delete_NonGov">#REF!,#REF!,#REF!,#REF!,#REF!</definedName>
    <definedName name="tx_roll_delete_OtherIncome">#REF!,#REF!,#REF!,#REF!,#REF!</definedName>
    <definedName name="tx_roll_delete_payroll">#REF!,#REF!,#REF!,#REF!,#REF!,#REF!,#REF!,#REF!</definedName>
    <definedName name="tx_roll_delete_PropSum">#REF!,#REF!,#REF!,#REF!</definedName>
    <definedName name="tx_roll_delete_salessum">#REF!,#REF!,#REF!,#REF!,#REF!,#REF!,#REF!</definedName>
    <definedName name="tx_roll_EOY">#REF!,#REF!,#REF!,#REF!,#REF!</definedName>
    <definedName name="tx_roll_py">#REF!,#REF!,#REF!,#REF!</definedName>
    <definedName name="tx_roll_py_apptsum">#REF!,#REF!,#REF!,#REF!</definedName>
    <definedName name="tx_roll_py1">#REF!,#REF!</definedName>
    <definedName name="tx_roll_py10">#REF!,#REF!</definedName>
    <definedName name="tx_roll_py11">#REF!,#REF!</definedName>
    <definedName name="tx_roll_py12">#REF!,#REF!</definedName>
    <definedName name="tx_roll_py13">#REF!,#REF!</definedName>
    <definedName name="tx_roll_py14">#REF!,#REF!</definedName>
    <definedName name="tx_roll_py15">#REF!,#REF!</definedName>
    <definedName name="tx_roll_py2">#REF!,#REF!</definedName>
    <definedName name="tx_roll_py3">#REF!,#REF!</definedName>
    <definedName name="tx_roll_py4">#REF!,#REF!</definedName>
    <definedName name="tx_roll_py5">#REF!,#REF!</definedName>
    <definedName name="tx_roll_py6">#REF!,#REF!</definedName>
    <definedName name="tx_roll_py7">#REF!,#REF!</definedName>
    <definedName name="tx_roll_py8">#REF!,#REF!</definedName>
    <definedName name="tx_roll_py9">#REF!,#REF!</definedName>
    <definedName name="Type">#REF!</definedName>
    <definedName name="ubv" hidden="1">{#N/A,#N/A,FALSE,"Aging Summary";#N/A,#N/A,FALSE,"Ratio Analysis";#N/A,#N/A,FALSE,"Test 120 Day Accts";#N/A,#N/A,FALSE,"Tickmarks"}</definedName>
    <definedName name="uk">#REF!</definedName>
    <definedName name="Ult_Loss_1">#REF!</definedName>
    <definedName name="Ultimate_ALAE_1">#REF!</definedName>
    <definedName name="Ultimate_Counts_1">#REF!</definedName>
    <definedName name="Ultimate_Loss_1">#REF!</definedName>
    <definedName name="UMGReport_2D">#REF!</definedName>
    <definedName name="UMGReport_3D">#REF!</definedName>
    <definedName name="Underdog">#REF!</definedName>
    <definedName name="UnearnedPrem">#REF!</definedName>
    <definedName name="UnrealizedGainLoss">#REF!</definedName>
    <definedName name="Untitled">#REF!</definedName>
    <definedName name="Upside">#REF!</definedName>
    <definedName name="USBU">#REF!</definedName>
    <definedName name="ValDate">#REF!</definedName>
    <definedName name="ValuationDate">#REF!</definedName>
    <definedName name="valuevx">42.314159</definedName>
    <definedName name="VBDirectGM">#REF!</definedName>
    <definedName name="VBReferralGM">#REF!</definedName>
    <definedName name="VBWholesaleGM">#REF!</definedName>
    <definedName name="Vendor">#REF!</definedName>
    <definedName name="Vendor_Project">#REF!</definedName>
    <definedName name="VersionNumber" hidden="1">"4.11.8628"</definedName>
    <definedName name="VoiceBroadcastData">#REF!</definedName>
    <definedName name="VOLUME_SELECTED">#REF!</definedName>
    <definedName name="WAGE1">#REF!</definedName>
    <definedName name="WAGE10">#REF!</definedName>
    <definedName name="WAGE11">#REF!</definedName>
    <definedName name="WAGE12">#REF!</definedName>
    <definedName name="WAGE2">#REF!</definedName>
    <definedName name="WAGE3">#REF!</definedName>
    <definedName name="WAGE4">#REF!</definedName>
    <definedName name="WAGE5">#REF!</definedName>
    <definedName name="WAGE6">#REF!</definedName>
    <definedName name="WAGE7">#REF!</definedName>
    <definedName name="WAGE8">#REF!</definedName>
    <definedName name="WAGE9">#REF!</definedName>
    <definedName name="WEB">#REF!</definedName>
    <definedName name="wedge">#REF!</definedName>
    <definedName name="WeekNo">#REF!</definedName>
    <definedName name="WeeksPerQuarter">13</definedName>
    <definedName name="Whatisgoingon" hidden="1">{#N/A,#N/A,FALSE,"Projections";#N/A,#N/A,FALSE,"Multiples Valuation";#N/A,#N/A,FALSE,"LBO";#N/A,#N/A,FALSE,"Multiples_Sensitivity";#N/A,#N/A,FALSE,"Summary"}</definedName>
    <definedName name="wink">#REF!</definedName>
    <definedName name="wink1">#REF!</definedName>
    <definedName name="WOFE">#REF!</definedName>
    <definedName name="wrn.101." hidden="1">{"101",#N/A,FALSE,"101"}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dditonal." hidden="1">{"Revolver",#N/A,FALSE,"Revolver";"Incentives",#N/A,FALSE,"Model"}</definedName>
    <definedName name="wrn.Aging._.and._.Trend._.Analysis." hidden="1">{#N/A,#N/A,FALSE,"Aging Summary";#N/A,#N/A,FALSE,"Ratio Analysis";#N/A,#N/A,FALSE,"Test 120 Day Accts";#N/A,#N/A,FALSE,"Tickmarks"}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Basic.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s." hidden="1">{#N/A,#N/A,FALSE,"TSUM";#N/A,#N/A,FALSE,"shares";#N/A,#N/A,FALSE,"earnout";#N/A,#N/A,FALSE,"Heaty";#N/A,#N/A,FALSE,"self-tend";#N/A,#N/A,FALSE,"self-sum"}</definedName>
    <definedName name="wrn.Both." hidden="1">{#N/A,#N/A,FALSE,"1998";#N/A,#N/A,FALSE,"1997"}</definedName>
    <definedName name="wrn.bullshit1." hidden="1">{#N/A,#N/A,FALSE,"Sheet1";#N/A,#N/A,FALSE,"Summary";#N/A,#N/A,FALSE,"proj1";#N/A,#N/A,FALSE,"proj2"}</definedName>
    <definedName name="wrn.cash._.forecast." hidden="1">{"summary",#N/A,FALSE,"cash forecast";"expenditures",#N/A,FALSE,"cash forecast";"inc statemt plus notes",#N/A,FALSE,"cash forecast"}</definedName>
    <definedName name="wrn.CORE._.KINETICS." hidden="1">{"COREKINETICS",#N/A,FALSE,"CORE KINETICS"}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b2" hidden="1">{"FCB_ALL",#N/A,FALSE,"FCB"}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Statements." hidden="1">{#N/A,#N/A,FALSE,"bal-sht";#N/A,#N/A,FALSE,"inc-stmt";#N/A,#N/A,FALSE,"cashflows";#N/A,#N/A,FALSE,"schds1-4";#N/A,#N/A,FALSE,"schd 5";#N/A,#N/A,FALSE,"schd6"}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ash._.Report." hidden="1">{#N/A,#N/A,FALSE,"1999 Fiscal Current Week";#N/A,#N/A,FALSE,"1999 Flash Report Variance 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TL._.GROUP." hidden="1">{"INTLGROUP",#N/A,FALSE,"INTL GROUP"}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._.P.._.Report." hidden="1">{#N/A,#N/A,FALSE,"1999 Fiscal Current Week";#N/A,#N/A,FALSE,"1999 Fiscal Variance"}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newest." hidden="1">{#N/A,#N/A,TRUE,"TS";#N/A,#N/A,TRUE,"Combo";#N/A,#N/A,TRUE,"FAIR";#N/A,#N/A,TRUE,"RBC";#N/A,#N/A,TRUE,"xxxx"}</definedName>
    <definedName name="wrn.noble._.fs." hidden="1">{#N/A,#N/A,FALSE,"coverpg";#N/A,#N/A,FALSE,"balsht";#N/A,#N/A,FALSE,"incstmt";#N/A,#N/A,FALSE,"cashflow";#N/A,#N/A,FALSE,"fnsnotes";#N/A,#N/A,FALSE,"TRIAL BALANCE"}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EM._.QTRLY." hidden="1">{"SUM UW INC",#N/A,FALSE,"CUM POL YR INC ST DEC 96";"DIR POL UW INC",#N/A,FALSE,"CUM POL YR INC ST DEC 96";"CED POL UW INC",#N/A,FALSE,"CUM POL YR INC ST DEC 96";"DIR POL FACTORS",#N/A,FALSE,"CUM POL YR INC ST DEC 96";"CED POL FACTORS",#N/A,FALSE,"CUM POL YR INC ST DEC 96";"Direct JE",#N/A,FALSE,"CUM POL YR INC ST DEC 96";"Ceded JE",#N/A,FALSE,"CUM POL YR INC ST DEC 96"}</definedName>
    <definedName name="wrn.PRODUCT._.GROUP." hidden="1">{"PRODUCTGROUP",#N/A,FALSE,"PRODUCT GROUP"}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_PR_1." hidden="1">{"PR1","pr1",TRUE,"Sch PR-1"}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SUMMARY." hidden="1">{"BS",#N/A,FALSE,"USA"}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ial._.bal." hidden="1">{"trial bal",#N/A,FALSE,"Journals";"Shell Trial bal",#N/A,FALSE,"Trial Balance"}</definedName>
    <definedName name="wrn.Underwriting._.detail._.rpt." hidden="1">{"carryforward clms made",#N/A,FALSE,"uw schedule - detail";"carryforward occ and total",#N/A,FALSE,"uw schedule - detail";"input losses clms made",#N/A,FALSE,"uw schedule - detail";"input area occ and total",#N/A,FALSE,"uw schedule - detail";"adj. loss cum prem cl md",#N/A,FALSE,"uw schedule - detail";"adj loss cum occ tot",#N/A,FALSE,"uw schedule - detail";"Pol Yr cum thru prior qtr clms md",#N/A,FALSE,"uw schedule - detail";"Pol Yr cum thru pr qtr occ and ttl",#N/A,FALSE,"uw schedule - detail";"Pol Yr ytd clms md",#N/A,FALSE,"uw schedule - detail";"Pol Yr ytd occ and ttl",#N/A,FALSE,"uw schedule - detail";"Pol Yr qtd clms md",#N/A,FALSE,"uw schedule - detail";"Pol Yr qtd occ and ttl",#N/A,FALSE,"uw schedule - detail";"underwrtg je curr qtr",#N/A,FALSE,"uw schedule - detail"}</definedName>
    <definedName name="wrn.Underwriting._.entries." hidden="1">{"UW Factors",#N/A,FALSE,"CUM POL YR INC ST MAR 97";"JEs",#N/A,FALSE,"CUM POL YR INC ST MAR 97"}</definedName>
    <definedName name="wrn.underwriting._.schedules." hidden="1">{"FINANCIALS",#N/A,FALSE,"u-w data"}</definedName>
    <definedName name="wrn.USF._.GROUP." hidden="1">{"USFGROUP",#N/A,FALSE,"USF GROUP CONSOL"}</definedName>
    <definedName name="wrn.VALUATION." hidden="1">{#N/A,#N/A,FALSE,"Pooling";#N/A,#N/A,FALSE,"income";#N/A,#N/A,FALSE,"valuation"}</definedName>
    <definedName name="wrn.wicor." hidden="1">{#N/A,#N/A,FALSE,"FACTSHEETS";#N/A,#N/A,FALSE,"pump";#N/A,#N/A,FALSE,"filter"}</definedName>
    <definedName name="WS_Comparison_ALAE">#REF!</definedName>
    <definedName name="WS_Comparison_Loss">#REF!</definedName>
    <definedName name="x" hidden="1">{#N/A,#N/A,FALSE,"FY97";#N/A,#N/A,FALSE,"FY98";#N/A,#N/A,FALSE,"FY99";#N/A,#N/A,FALSE,"FY00";#N/A,#N/A,FALSE,"FY01"}</definedName>
    <definedName name="xdif" hidden="1">"4.11.8628"</definedName>
    <definedName name="xperiod">#REF!</definedName>
    <definedName name="XREF_COLUMN_1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7Row" hidden="1">#REF!</definedName>
    <definedName name="XRefCopy2Row" hidden="1">#REF!</definedName>
    <definedName name="XRefCopy30Row" hidden="1">#REF!</definedName>
    <definedName name="XRefCopy3Row" hidden="1">#REF!</definedName>
    <definedName name="XRefCopy4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6Row" hidden="1">#REF!</definedName>
    <definedName name="XRefPaste1Row" hidden="1">#REF!</definedName>
    <definedName name="XRefPaste2" hidden="1">#REF!</definedName>
    <definedName name="XRefPaste21Row" hidden="1">#REF!</definedName>
    <definedName name="XRefPaste22Row" hidden="1">#REF!</definedName>
    <definedName name="XRefPaste23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12</definedName>
    <definedName name="xtabin">#REF!</definedName>
    <definedName name="xxx" hidden="1">#REF!</definedName>
    <definedName name="XXXXXXXXXXXXXXXXXXXXX">#REF!</definedName>
    <definedName name="YCEUR_2009M10">#REF!</definedName>
    <definedName name="YCEUR_2011Q1">#REF!</definedName>
    <definedName name="YCEUR_2011Q4">#REF!</definedName>
    <definedName name="YCEUR_2012Q4">#REF!</definedName>
    <definedName name="YCEUR_2013Q3">#REF!</definedName>
    <definedName name="Year">#REF!</definedName>
    <definedName name="YearLeft">#REF!</definedName>
    <definedName name="YearNo">#REF!</definedName>
    <definedName name="YearPercent">#REF!</definedName>
    <definedName name="youh" hidden="1">{#N/A,#N/A,FALSE,"AD_Purchase";#N/A,#N/A,FALSE,"Credit";#N/A,#N/A,FALSE,"PF Acquisition";#N/A,#N/A,FALSE,"PF Offering"}</definedName>
    <definedName name="Yr">#REF!</definedName>
    <definedName name="YTD">#REF!</definedName>
    <definedName name="YTD__2002_2003">#REF!</definedName>
    <definedName name="YTDEarnedPrem">#REF!</definedName>
    <definedName name="z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ZAU_actual">#REF!</definedName>
    <definedName name="ZNZ_actual">#REF!</definedName>
    <definedName name="ZZ">#REF!</definedName>
  </definedNames>
  <calcPr calcId="191029" concurrentManualCount="20"/>
  <extLst>
    <ext uri="GoogleSheetsCustomDataVersion2">
      <go:sheetsCustomData xmlns:go="http://customooxmlschemas.google.com/" r:id="rId55" roundtripDataChecksum="ifySGORqX8d4mVOCrsEvHHs9UAJRWGR37yp8ykkOZLg="/>
    </ext>
  </extLst>
</workbook>
</file>

<file path=xl/calcChain.xml><?xml version="1.0" encoding="utf-8"?>
<calcChain xmlns="http://schemas.openxmlformats.org/spreadsheetml/2006/main">
  <c r="N107" i="9" l="1"/>
  <c r="M107" i="9"/>
  <c r="L107" i="9"/>
  <c r="K107" i="9"/>
  <c r="J107" i="9"/>
  <c r="I107" i="9"/>
  <c r="H107" i="9"/>
  <c r="G107" i="9"/>
  <c r="F107" i="9"/>
  <c r="E107" i="9"/>
  <c r="D107" i="9"/>
  <c r="C107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S104" i="9"/>
  <c r="R104" i="9"/>
  <c r="Q104" i="9"/>
  <c r="P104" i="9"/>
  <c r="O104" i="9"/>
  <c r="S103" i="9"/>
  <c r="R103" i="9"/>
  <c r="Q103" i="9"/>
  <c r="P103" i="9"/>
  <c r="O103" i="9"/>
  <c r="S102" i="9"/>
  <c r="R102" i="9"/>
  <c r="Q102" i="9"/>
  <c r="P102" i="9"/>
  <c r="O102" i="9"/>
  <c r="S101" i="9"/>
  <c r="R101" i="9"/>
  <c r="Q101" i="9"/>
  <c r="P101" i="9"/>
  <c r="O101" i="9"/>
  <c r="S100" i="9"/>
  <c r="R100" i="9"/>
  <c r="Q100" i="9"/>
  <c r="P100" i="9"/>
  <c r="O100" i="9"/>
  <c r="S99" i="9"/>
  <c r="R99" i="9"/>
  <c r="Q99" i="9"/>
  <c r="P99" i="9"/>
  <c r="O99" i="9"/>
  <c r="S98" i="9"/>
  <c r="R98" i="9"/>
  <c r="Q98" i="9"/>
  <c r="P98" i="9"/>
  <c r="O98" i="9"/>
  <c r="S97" i="9"/>
  <c r="R97" i="9"/>
  <c r="Q97" i="9"/>
  <c r="P97" i="9"/>
  <c r="O97" i="9"/>
  <c r="S96" i="9"/>
  <c r="R96" i="9"/>
  <c r="Q96" i="9"/>
  <c r="P96" i="9"/>
  <c r="O96" i="9"/>
  <c r="S95" i="9"/>
  <c r="R95" i="9"/>
  <c r="Q95" i="9"/>
  <c r="P95" i="9"/>
  <c r="O95" i="9"/>
  <c r="S94" i="9"/>
  <c r="R94" i="9"/>
  <c r="Q94" i="9"/>
  <c r="P94" i="9"/>
  <c r="O94" i="9"/>
  <c r="S93" i="9"/>
  <c r="R93" i="9"/>
  <c r="Q93" i="9"/>
  <c r="P93" i="9"/>
  <c r="O93" i="9"/>
  <c r="S90" i="9"/>
  <c r="R90" i="9"/>
  <c r="Q90" i="9"/>
  <c r="P90" i="9"/>
  <c r="O90" i="9"/>
  <c r="N89" i="9"/>
  <c r="M89" i="9"/>
  <c r="L89" i="9"/>
  <c r="K89" i="9"/>
  <c r="J89" i="9"/>
  <c r="I89" i="9"/>
  <c r="H89" i="9"/>
  <c r="G89" i="9"/>
  <c r="F89" i="9"/>
  <c r="E89" i="9"/>
  <c r="D89" i="9"/>
  <c r="C89" i="9"/>
  <c r="S88" i="9"/>
  <c r="R88" i="9"/>
  <c r="Q88" i="9"/>
  <c r="P88" i="9"/>
  <c r="O88" i="9"/>
  <c r="S87" i="9"/>
  <c r="R87" i="9"/>
  <c r="Q87" i="9"/>
  <c r="P87" i="9"/>
  <c r="O87" i="9"/>
  <c r="S86" i="9"/>
  <c r="R86" i="9"/>
  <c r="Q86" i="9"/>
  <c r="P86" i="9"/>
  <c r="O86" i="9"/>
  <c r="S85" i="9"/>
  <c r="R85" i="9"/>
  <c r="Q85" i="9"/>
  <c r="P85" i="9"/>
  <c r="O85" i="9"/>
  <c r="S84" i="9"/>
  <c r="R84" i="9"/>
  <c r="Q84" i="9"/>
  <c r="P84" i="9"/>
  <c r="O84" i="9"/>
  <c r="S83" i="9"/>
  <c r="R83" i="9"/>
  <c r="Q83" i="9"/>
  <c r="P83" i="9"/>
  <c r="O83" i="9"/>
  <c r="S82" i="9"/>
  <c r="R82" i="9"/>
  <c r="Q82" i="9"/>
  <c r="P82" i="9"/>
  <c r="O82" i="9"/>
  <c r="S81" i="9"/>
  <c r="R81" i="9"/>
  <c r="Q81" i="9"/>
  <c r="P81" i="9"/>
  <c r="O81" i="9"/>
  <c r="S80" i="9"/>
  <c r="R80" i="9"/>
  <c r="Q80" i="9"/>
  <c r="P80" i="9"/>
  <c r="O80" i="9"/>
  <c r="S79" i="9"/>
  <c r="R79" i="9"/>
  <c r="Q79" i="9"/>
  <c r="P79" i="9"/>
  <c r="O79" i="9"/>
  <c r="S78" i="9"/>
  <c r="R78" i="9"/>
  <c r="Q78" i="9"/>
  <c r="P78" i="9"/>
  <c r="O78" i="9"/>
  <c r="S77" i="9"/>
  <c r="R77" i="9"/>
  <c r="Q77" i="9"/>
  <c r="P77" i="9"/>
  <c r="O77" i="9"/>
  <c r="S76" i="9"/>
  <c r="R76" i="9"/>
  <c r="Q76" i="9"/>
  <c r="P76" i="9"/>
  <c r="O76" i="9"/>
  <c r="S75" i="9"/>
  <c r="R75" i="9"/>
  <c r="Q75" i="9"/>
  <c r="P75" i="9"/>
  <c r="O75" i="9"/>
  <c r="S74" i="9"/>
  <c r="R74" i="9"/>
  <c r="Q74" i="9"/>
  <c r="P74" i="9"/>
  <c r="O74" i="9"/>
  <c r="S73" i="9"/>
  <c r="R73" i="9"/>
  <c r="Q73" i="9"/>
  <c r="P73" i="9"/>
  <c r="O73" i="9"/>
  <c r="S72" i="9"/>
  <c r="R72" i="9"/>
  <c r="Q72" i="9"/>
  <c r="P72" i="9"/>
  <c r="O72" i="9"/>
  <c r="S71" i="9"/>
  <c r="R71" i="9"/>
  <c r="Q71" i="9"/>
  <c r="P71" i="9"/>
  <c r="O71" i="9"/>
  <c r="S70" i="9"/>
  <c r="R70" i="9"/>
  <c r="Q70" i="9"/>
  <c r="P70" i="9"/>
  <c r="O70" i="9"/>
  <c r="S69" i="9"/>
  <c r="R69" i="9"/>
  <c r="Q69" i="9"/>
  <c r="P69" i="9"/>
  <c r="O69" i="9"/>
  <c r="S68" i="9"/>
  <c r="R68" i="9"/>
  <c r="Q68" i="9"/>
  <c r="P68" i="9"/>
  <c r="O68" i="9"/>
  <c r="S67" i="9"/>
  <c r="R67" i="9"/>
  <c r="Q67" i="9"/>
  <c r="P67" i="9"/>
  <c r="O67" i="9"/>
  <c r="S66" i="9"/>
  <c r="R66" i="9"/>
  <c r="Q66" i="9"/>
  <c r="P66" i="9"/>
  <c r="O66" i="9"/>
  <c r="S65" i="9"/>
  <c r="R65" i="9"/>
  <c r="Q65" i="9"/>
  <c r="P65" i="9"/>
  <c r="O65" i="9"/>
  <c r="S64" i="9"/>
  <c r="R64" i="9"/>
  <c r="Q64" i="9"/>
  <c r="P64" i="9"/>
  <c r="O64" i="9"/>
  <c r="S63" i="9"/>
  <c r="R63" i="9"/>
  <c r="Q63" i="9"/>
  <c r="P63" i="9"/>
  <c r="O63" i="9"/>
  <c r="S62" i="9"/>
  <c r="R62" i="9"/>
  <c r="Q62" i="9"/>
  <c r="P62" i="9"/>
  <c r="O62" i="9"/>
  <c r="S61" i="9"/>
  <c r="R61" i="9"/>
  <c r="Q61" i="9"/>
  <c r="P61" i="9"/>
  <c r="O61" i="9"/>
  <c r="S60" i="9"/>
  <c r="R60" i="9"/>
  <c r="Q60" i="9"/>
  <c r="P60" i="9"/>
  <c r="O60" i="9"/>
  <c r="S59" i="9"/>
  <c r="R59" i="9"/>
  <c r="Q59" i="9"/>
  <c r="P59" i="9"/>
  <c r="O59" i="9"/>
  <c r="S58" i="9"/>
  <c r="R58" i="9"/>
  <c r="Q58" i="9"/>
  <c r="P58" i="9"/>
  <c r="O58" i="9"/>
  <c r="S57" i="9"/>
  <c r="R57" i="9"/>
  <c r="Q57" i="9"/>
  <c r="P57" i="9"/>
  <c r="O57" i="9"/>
  <c r="S56" i="9"/>
  <c r="R56" i="9"/>
  <c r="Q56" i="9"/>
  <c r="P56" i="9"/>
  <c r="O56" i="9"/>
  <c r="S55" i="9"/>
  <c r="R55" i="9"/>
  <c r="Q55" i="9"/>
  <c r="P55" i="9"/>
  <c r="O55" i="9"/>
  <c r="S54" i="9"/>
  <c r="R54" i="9"/>
  <c r="Q54" i="9"/>
  <c r="P54" i="9"/>
  <c r="O54" i="9"/>
  <c r="S53" i="9"/>
  <c r="R53" i="9"/>
  <c r="Q53" i="9"/>
  <c r="P53" i="9"/>
  <c r="O53" i="9"/>
  <c r="S52" i="9"/>
  <c r="R52" i="9"/>
  <c r="Q52" i="9"/>
  <c r="P52" i="9"/>
  <c r="O52" i="9"/>
  <c r="S51" i="9"/>
  <c r="R51" i="9"/>
  <c r="Q51" i="9"/>
  <c r="P51" i="9"/>
  <c r="O51" i="9"/>
  <c r="S50" i="9"/>
  <c r="R50" i="9"/>
  <c r="Q50" i="9"/>
  <c r="P50" i="9"/>
  <c r="O50" i="9"/>
  <c r="S49" i="9"/>
  <c r="R49" i="9"/>
  <c r="Q49" i="9"/>
  <c r="P49" i="9"/>
  <c r="O49" i="9"/>
  <c r="S48" i="9"/>
  <c r="R48" i="9"/>
  <c r="Q48" i="9"/>
  <c r="P48" i="9"/>
  <c r="O48" i="9"/>
  <c r="S47" i="9"/>
  <c r="R47" i="9"/>
  <c r="Q47" i="9"/>
  <c r="P47" i="9"/>
  <c r="O47" i="9"/>
  <c r="S46" i="9"/>
  <c r="R46" i="9"/>
  <c r="Q46" i="9"/>
  <c r="P46" i="9"/>
  <c r="O46" i="9"/>
  <c r="S45" i="9"/>
  <c r="R45" i="9"/>
  <c r="Q45" i="9"/>
  <c r="P45" i="9"/>
  <c r="O45" i="9"/>
  <c r="S44" i="9"/>
  <c r="R44" i="9"/>
  <c r="Q44" i="9"/>
  <c r="P44" i="9"/>
  <c r="O44" i="9"/>
  <c r="S43" i="9"/>
  <c r="R43" i="9"/>
  <c r="Q43" i="9"/>
  <c r="P43" i="9"/>
  <c r="O43" i="9"/>
  <c r="S42" i="9"/>
  <c r="R42" i="9"/>
  <c r="Q42" i="9"/>
  <c r="P42" i="9"/>
  <c r="O42" i="9"/>
  <c r="S41" i="9"/>
  <c r="R41" i="9"/>
  <c r="Q41" i="9"/>
  <c r="P41" i="9"/>
  <c r="O41" i="9"/>
  <c r="S40" i="9"/>
  <c r="R40" i="9"/>
  <c r="Q40" i="9"/>
  <c r="P40" i="9"/>
  <c r="O40" i="9"/>
  <c r="S39" i="9"/>
  <c r="R39" i="9"/>
  <c r="Q39" i="9"/>
  <c r="P39" i="9"/>
  <c r="O39" i="9"/>
  <c r="S38" i="9"/>
  <c r="R38" i="9"/>
  <c r="Q38" i="9"/>
  <c r="P38" i="9"/>
  <c r="O38" i="9"/>
  <c r="S37" i="9"/>
  <c r="R37" i="9"/>
  <c r="Q37" i="9"/>
  <c r="P37" i="9"/>
  <c r="O37" i="9"/>
  <c r="S36" i="9"/>
  <c r="R36" i="9"/>
  <c r="Q36" i="9"/>
  <c r="P36" i="9"/>
  <c r="O36" i="9"/>
  <c r="S35" i="9"/>
  <c r="R35" i="9"/>
  <c r="Q35" i="9"/>
  <c r="P35" i="9"/>
  <c r="O35" i="9"/>
  <c r="S34" i="9"/>
  <c r="R34" i="9"/>
  <c r="Q34" i="9"/>
  <c r="P34" i="9"/>
  <c r="O34" i="9"/>
  <c r="S33" i="9"/>
  <c r="R33" i="9"/>
  <c r="Q33" i="9"/>
  <c r="P33" i="9"/>
  <c r="O33" i="9"/>
  <c r="S32" i="9"/>
  <c r="R32" i="9"/>
  <c r="Q32" i="9"/>
  <c r="P32" i="9"/>
  <c r="O32" i="9"/>
  <c r="S31" i="9"/>
  <c r="R31" i="9"/>
  <c r="Q31" i="9"/>
  <c r="P31" i="9"/>
  <c r="O31" i="9"/>
  <c r="S30" i="9"/>
  <c r="R30" i="9"/>
  <c r="Q30" i="9"/>
  <c r="P30" i="9"/>
  <c r="O30" i="9"/>
  <c r="S29" i="9"/>
  <c r="R29" i="9"/>
  <c r="Q29" i="9"/>
  <c r="P29" i="9"/>
  <c r="O29" i="9"/>
  <c r="S28" i="9"/>
  <c r="R28" i="9"/>
  <c r="Q28" i="9"/>
  <c r="P28" i="9"/>
  <c r="O28" i="9"/>
  <c r="S27" i="9"/>
  <c r="R27" i="9"/>
  <c r="Q27" i="9"/>
  <c r="P27" i="9"/>
  <c r="O27" i="9"/>
  <c r="S26" i="9"/>
  <c r="R26" i="9"/>
  <c r="Q26" i="9"/>
  <c r="P26" i="9"/>
  <c r="O26" i="9"/>
  <c r="S25" i="9"/>
  <c r="R25" i="9"/>
  <c r="Q25" i="9"/>
  <c r="P25" i="9"/>
  <c r="O25" i="9"/>
  <c r="S24" i="9"/>
  <c r="R24" i="9"/>
  <c r="Q24" i="9"/>
  <c r="P24" i="9"/>
  <c r="O24" i="9"/>
  <c r="S23" i="9"/>
  <c r="R23" i="9"/>
  <c r="Q23" i="9"/>
  <c r="P23" i="9"/>
  <c r="O23" i="9"/>
  <c r="S22" i="9"/>
  <c r="R22" i="9"/>
  <c r="Q22" i="9"/>
  <c r="P22" i="9"/>
  <c r="O22" i="9"/>
  <c r="S21" i="9"/>
  <c r="R21" i="9"/>
  <c r="Q21" i="9"/>
  <c r="P21" i="9"/>
  <c r="O21" i="9"/>
  <c r="S20" i="9"/>
  <c r="R20" i="9"/>
  <c r="Q20" i="9"/>
  <c r="P20" i="9"/>
  <c r="O20" i="9"/>
  <c r="S19" i="9"/>
  <c r="R19" i="9"/>
  <c r="Q19" i="9"/>
  <c r="P19" i="9"/>
  <c r="O19" i="9"/>
  <c r="S18" i="9"/>
  <c r="R18" i="9"/>
  <c r="Q18" i="9"/>
  <c r="P18" i="9"/>
  <c r="O18" i="9"/>
  <c r="S17" i="9"/>
  <c r="R17" i="9"/>
  <c r="Q17" i="9"/>
  <c r="P17" i="9"/>
  <c r="O17" i="9"/>
  <c r="S16" i="9"/>
  <c r="R16" i="9"/>
  <c r="Q16" i="9"/>
  <c r="P16" i="9"/>
  <c r="O16" i="9"/>
  <c r="S15" i="9"/>
  <c r="R15" i="9"/>
  <c r="Q15" i="9"/>
  <c r="P15" i="9"/>
  <c r="O15" i="9"/>
  <c r="S14" i="9"/>
  <c r="R14" i="9"/>
  <c r="Q14" i="9"/>
  <c r="P14" i="9"/>
  <c r="O14" i="9"/>
  <c r="S13" i="9"/>
  <c r="R13" i="9"/>
  <c r="Q13" i="9"/>
  <c r="P13" i="9"/>
  <c r="O13" i="9"/>
  <c r="S12" i="9"/>
  <c r="R12" i="9"/>
  <c r="Q12" i="9"/>
  <c r="P12" i="9"/>
  <c r="O12" i="9"/>
  <c r="S11" i="9"/>
  <c r="R11" i="9"/>
  <c r="Q11" i="9"/>
  <c r="P11" i="9"/>
  <c r="O11" i="9"/>
  <c r="S10" i="9"/>
  <c r="R10" i="9"/>
  <c r="Q10" i="9"/>
  <c r="P10" i="9"/>
  <c r="O10" i="9"/>
  <c r="S9" i="9"/>
  <c r="R9" i="9"/>
  <c r="Q9" i="9"/>
  <c r="P9" i="9"/>
  <c r="O9" i="9"/>
  <c r="S8" i="9"/>
  <c r="R8" i="9"/>
  <c r="Q8" i="9"/>
  <c r="P8" i="9"/>
  <c r="O8" i="9"/>
  <c r="S7" i="9"/>
  <c r="R7" i="9"/>
  <c r="Q7" i="9"/>
  <c r="P7" i="9"/>
  <c r="O7" i="9"/>
  <c r="S6" i="9"/>
  <c r="R6" i="9"/>
  <c r="Q6" i="9"/>
  <c r="P6" i="9"/>
  <c r="O6" i="9"/>
  <c r="S5" i="9"/>
  <c r="R5" i="9"/>
  <c r="Q5" i="9"/>
  <c r="P5" i="9"/>
  <c r="O5" i="9"/>
  <c r="S4" i="9"/>
  <c r="R4" i="9"/>
  <c r="Q4" i="9"/>
  <c r="P4" i="9"/>
  <c r="O4" i="9"/>
  <c r="S3" i="9"/>
  <c r="R3" i="9"/>
  <c r="Q3" i="9"/>
  <c r="P3" i="9"/>
  <c r="O3" i="9"/>
  <c r="O89" i="9" s="1"/>
  <c r="S2" i="9"/>
  <c r="S89" i="9" s="1"/>
  <c r="R2" i="9"/>
  <c r="R89" i="9" s="1"/>
  <c r="Q2" i="9"/>
  <c r="Q89" i="9" s="1"/>
  <c r="P2" i="9"/>
  <c r="P89" i="9" s="1"/>
  <c r="O2" i="9"/>
  <c r="C16" i="3"/>
  <c r="D16" i="3"/>
  <c r="E16" i="3"/>
  <c r="F16" i="3"/>
  <c r="G16" i="3"/>
  <c r="L34" i="3" l="1"/>
  <c r="L33" i="3"/>
  <c r="M30" i="3"/>
  <c r="N30" i="3"/>
  <c r="L30" i="3"/>
  <c r="M29" i="3"/>
  <c r="N29" i="3"/>
  <c r="L29" i="3"/>
  <c r="M28" i="3"/>
  <c r="N28" i="3"/>
  <c r="L28" i="3"/>
  <c r="L52" i="3" l="1"/>
  <c r="L50" i="3"/>
  <c r="M50" i="3"/>
  <c r="M47" i="3"/>
  <c r="L47" i="3"/>
  <c r="K94" i="8"/>
  <c r="I94" i="8"/>
  <c r="G94" i="8"/>
  <c r="E94" i="8"/>
  <c r="L94" i="8" s="1"/>
  <c r="M5" i="8" s="1"/>
  <c r="C94" i="8"/>
  <c r="L93" i="8"/>
  <c r="M6" i="8" s="1"/>
  <c r="L92" i="8"/>
  <c r="K91" i="8"/>
  <c r="I91" i="8"/>
  <c r="G91" i="8"/>
  <c r="E91" i="8"/>
  <c r="L91" i="8" s="1"/>
  <c r="M3" i="8" s="1"/>
  <c r="M9" i="8" s="1"/>
  <c r="C91" i="8"/>
  <c r="K87" i="8"/>
  <c r="I87" i="8"/>
  <c r="G87" i="8"/>
  <c r="E87" i="8"/>
  <c r="L87" i="8" s="1"/>
  <c r="L5" i="8" s="1"/>
  <c r="C87" i="8"/>
  <c r="L86" i="8"/>
  <c r="L85" i="8"/>
  <c r="K84" i="8"/>
  <c r="I84" i="8"/>
  <c r="G84" i="8"/>
  <c r="E84" i="8"/>
  <c r="L84" i="8" s="1"/>
  <c r="L3" i="8" s="1"/>
  <c r="C84" i="8"/>
  <c r="K80" i="8"/>
  <c r="I80" i="8"/>
  <c r="G80" i="8"/>
  <c r="E80" i="8"/>
  <c r="L80" i="8" s="1"/>
  <c r="C80" i="8"/>
  <c r="L79" i="8"/>
  <c r="K6" i="8" s="1"/>
  <c r="L78" i="8"/>
  <c r="K4" i="8" s="1"/>
  <c r="K77" i="8"/>
  <c r="I77" i="8"/>
  <c r="L77" i="8" s="1"/>
  <c r="K3" i="8" s="1"/>
  <c r="G77" i="8"/>
  <c r="E77" i="8"/>
  <c r="C77" i="8"/>
  <c r="K73" i="8"/>
  <c r="I73" i="8"/>
  <c r="G73" i="8"/>
  <c r="E73" i="8"/>
  <c r="L73" i="8" s="1"/>
  <c r="J5" i="8" s="1"/>
  <c r="C73" i="8"/>
  <c r="L72" i="8"/>
  <c r="J6" i="8" s="1"/>
  <c r="L71" i="8"/>
  <c r="K70" i="8"/>
  <c r="I70" i="8"/>
  <c r="G70" i="8"/>
  <c r="E70" i="8"/>
  <c r="L70" i="8" s="1"/>
  <c r="J3" i="8" s="1"/>
  <c r="C70" i="8"/>
  <c r="K66" i="8"/>
  <c r="I66" i="8"/>
  <c r="L66" i="8" s="1"/>
  <c r="I6" i="8" s="1"/>
  <c r="G66" i="8"/>
  <c r="E66" i="8"/>
  <c r="C66" i="8"/>
  <c r="L65" i="8"/>
  <c r="L64" i="8"/>
  <c r="K63" i="8"/>
  <c r="I63" i="8"/>
  <c r="G63" i="8"/>
  <c r="E63" i="8"/>
  <c r="L63" i="8" s="1"/>
  <c r="I3" i="8" s="1"/>
  <c r="I9" i="8" s="1"/>
  <c r="C63" i="8"/>
  <c r="K59" i="8"/>
  <c r="I59" i="8"/>
  <c r="G59" i="8"/>
  <c r="E59" i="8"/>
  <c r="L59" i="8" s="1"/>
  <c r="H6" i="8" s="1"/>
  <c r="C59" i="8"/>
  <c r="L58" i="8"/>
  <c r="H5" i="8" s="1"/>
  <c r="L57" i="8"/>
  <c r="H4" i="8" s="1"/>
  <c r="L56" i="8"/>
  <c r="H3" i="8" s="1"/>
  <c r="H9" i="8" s="1"/>
  <c r="K56" i="8"/>
  <c r="I56" i="8"/>
  <c r="G56" i="8"/>
  <c r="E56" i="8"/>
  <c r="C56" i="8"/>
  <c r="K52" i="8"/>
  <c r="I52" i="8"/>
  <c r="G52" i="8"/>
  <c r="E52" i="8"/>
  <c r="L52" i="8" s="1"/>
  <c r="G6" i="8" s="1"/>
  <c r="C52" i="8"/>
  <c r="L51" i="8"/>
  <c r="G5" i="8" s="1"/>
  <c r="L50" i="8"/>
  <c r="K49" i="8"/>
  <c r="I49" i="8"/>
  <c r="G49" i="8"/>
  <c r="E49" i="8"/>
  <c r="L49" i="8" s="1"/>
  <c r="G3" i="8" s="1"/>
  <c r="C49" i="8"/>
  <c r="L45" i="8"/>
  <c r="F6" i="8" s="1"/>
  <c r="K45" i="8"/>
  <c r="I45" i="8"/>
  <c r="G45" i="8"/>
  <c r="E45" i="8"/>
  <c r="C45" i="8"/>
  <c r="L44" i="8"/>
  <c r="F5" i="8" s="1"/>
  <c r="L43" i="8"/>
  <c r="K42" i="8"/>
  <c r="I42" i="8"/>
  <c r="G42" i="8"/>
  <c r="E42" i="8"/>
  <c r="L42" i="8" s="1"/>
  <c r="F3" i="8" s="1"/>
  <c r="F9" i="8" s="1"/>
  <c r="C42" i="8"/>
  <c r="K38" i="8"/>
  <c r="I38" i="8"/>
  <c r="G38" i="8"/>
  <c r="E38" i="8"/>
  <c r="L38" i="8" s="1"/>
  <c r="E6" i="8" s="1"/>
  <c r="C38" i="8"/>
  <c r="L37" i="8"/>
  <c r="E5" i="8" s="1"/>
  <c r="L36" i="8"/>
  <c r="K35" i="8"/>
  <c r="I35" i="8"/>
  <c r="G35" i="8"/>
  <c r="E35" i="8"/>
  <c r="L35" i="8" s="1"/>
  <c r="E3" i="8" s="1"/>
  <c r="E9" i="8" s="1"/>
  <c r="C35" i="8"/>
  <c r="K31" i="8"/>
  <c r="I31" i="8"/>
  <c r="G31" i="8"/>
  <c r="E31" i="8"/>
  <c r="L31" i="8" s="1"/>
  <c r="D6" i="8" s="1"/>
  <c r="C31" i="8"/>
  <c r="L30" i="8"/>
  <c r="D5" i="8" s="1"/>
  <c r="L29" i="8"/>
  <c r="K28" i="8"/>
  <c r="I28" i="8"/>
  <c r="G28" i="8"/>
  <c r="E28" i="8"/>
  <c r="L28" i="8" s="1"/>
  <c r="D3" i="8" s="1"/>
  <c r="D9" i="8" s="1"/>
  <c r="C28" i="8"/>
  <c r="K24" i="8"/>
  <c r="I24" i="8"/>
  <c r="G24" i="8"/>
  <c r="E24" i="8"/>
  <c r="L24" i="8" s="1"/>
  <c r="C6" i="8" s="1"/>
  <c r="C24" i="8"/>
  <c r="L23" i="8"/>
  <c r="C5" i="8" s="1"/>
  <c r="L22" i="8"/>
  <c r="R21" i="8"/>
  <c r="N21" i="8"/>
  <c r="K21" i="8"/>
  <c r="I21" i="8"/>
  <c r="G21" i="8"/>
  <c r="E21" i="8"/>
  <c r="L21" i="8" s="1"/>
  <c r="C3" i="8" s="1"/>
  <c r="C9" i="8" s="1"/>
  <c r="C21" i="8"/>
  <c r="K17" i="8"/>
  <c r="I17" i="8"/>
  <c r="L17" i="8" s="1"/>
  <c r="B6" i="8" s="1"/>
  <c r="G17" i="8"/>
  <c r="E17" i="8"/>
  <c r="C17" i="8"/>
  <c r="L16" i="8"/>
  <c r="N15" i="8"/>
  <c r="L15" i="8"/>
  <c r="C14" i="8"/>
  <c r="L14" i="8" s="1"/>
  <c r="B3" i="8" s="1"/>
  <c r="N10" i="8"/>
  <c r="L6" i="8"/>
  <c r="I5" i="8"/>
  <c r="B5" i="8"/>
  <c r="M4" i="8"/>
  <c r="L4" i="8"/>
  <c r="J4" i="8"/>
  <c r="I4" i="8"/>
  <c r="G4" i="8"/>
  <c r="F4" i="8"/>
  <c r="E4" i="8"/>
  <c r="D4" i="8"/>
  <c r="C4" i="8"/>
  <c r="B4" i="8"/>
  <c r="M46" i="3"/>
  <c r="M45" i="3"/>
  <c r="E20" i="10"/>
  <c r="D20" i="10"/>
  <c r="C20" i="10"/>
  <c r="E9" i="10"/>
  <c r="D9" i="10"/>
  <c r="C9" i="10"/>
  <c r="S5" i="16"/>
  <c r="T5" i="16" s="1"/>
  <c r="T10" i="16" s="1"/>
  <c r="Q9" i="16"/>
  <c r="O9" i="16"/>
  <c r="K9" i="16"/>
  <c r="I9" i="16"/>
  <c r="G9" i="16"/>
  <c r="E9" i="16"/>
  <c r="C9" i="16"/>
  <c r="Q8" i="16"/>
  <c r="O8" i="16"/>
  <c r="M8" i="16"/>
  <c r="M9" i="16" s="1"/>
  <c r="T9" i="16" s="1"/>
  <c r="Q5" i="16"/>
  <c r="O5" i="16"/>
  <c r="M5" i="16"/>
  <c r="N40" i="3"/>
  <c r="M40" i="3"/>
  <c r="O80" i="8" l="1"/>
  <c r="K5" i="8"/>
  <c r="J9" i="8"/>
  <c r="B9" i="8"/>
  <c r="G9" i="8"/>
  <c r="L9" i="8"/>
  <c r="K9" i="8"/>
  <c r="H26" i="11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  <c r="K40" i="3"/>
  <c r="K38" i="3"/>
  <c r="B20" i="11"/>
  <c r="B17" i="11"/>
  <c r="B21" i="11" s="1"/>
  <c r="B22" i="11" s="1"/>
  <c r="N9" i="8" l="1"/>
  <c r="O9" i="8" s="1"/>
  <c r="K42" i="3"/>
  <c r="L46" i="3" l="1"/>
  <c r="L45" i="3"/>
  <c r="K15" i="3"/>
  <c r="K14" i="3"/>
  <c r="K13" i="3"/>
  <c r="K12" i="3"/>
  <c r="K11" i="3"/>
  <c r="R11" i="3" s="1"/>
  <c r="N38" i="3" l="1"/>
  <c r="N42" i="3" s="1"/>
  <c r="M31" i="3" l="1"/>
  <c r="N31" i="3"/>
  <c r="L40" i="3" l="1"/>
  <c r="L31" i="3" l="1"/>
  <c r="H28" i="3" l="1"/>
  <c r="G28" i="3" l="1"/>
  <c r="F28" i="3"/>
  <c r="G40" i="3" l="1"/>
  <c r="F9" i="3" l="1"/>
  <c r="F40" i="3" l="1"/>
  <c r="G7" i="3"/>
  <c r="H7" i="3"/>
  <c r="I7" i="3"/>
  <c r="J7" i="3"/>
  <c r="K7" i="3"/>
  <c r="E33" i="3" l="1"/>
  <c r="E31" i="3"/>
  <c r="E38" i="3" l="1"/>
  <c r="E11" i="3" l="1"/>
  <c r="D28" i="3" l="1"/>
  <c r="N59" i="3" l="1"/>
  <c r="N64" i="3"/>
  <c r="C33" i="3"/>
  <c r="C28" i="3"/>
  <c r="C37" i="3" l="1"/>
  <c r="L32" i="3" l="1"/>
  <c r="L38" i="3" s="1"/>
  <c r="L42" i="3" s="1"/>
  <c r="M32" i="3"/>
  <c r="M38" i="3" s="1"/>
  <c r="M42" i="3" s="1"/>
  <c r="N32" i="3"/>
  <c r="N69" i="3" l="1"/>
  <c r="N73" i="3" s="1"/>
  <c r="M69" i="3"/>
  <c r="M73" i="3" s="1"/>
  <c r="L69" i="3"/>
  <c r="L73" i="3" s="1"/>
  <c r="K69" i="3"/>
  <c r="K73" i="3" s="1"/>
  <c r="J69" i="3"/>
  <c r="J73" i="3" s="1"/>
  <c r="I69" i="3"/>
  <c r="I73" i="3" s="1"/>
  <c r="H69" i="3"/>
  <c r="H73" i="3" s="1"/>
  <c r="G69" i="3"/>
  <c r="G73" i="3" s="1"/>
  <c r="F69" i="3"/>
  <c r="F73" i="3" s="1"/>
  <c r="E69" i="3"/>
  <c r="E73" i="3" s="1"/>
  <c r="D69" i="3"/>
  <c r="D73" i="3" s="1"/>
  <c r="C69" i="3"/>
  <c r="C73" i="3" s="1"/>
  <c r="S59" i="3"/>
  <c r="L6" i="1" s="1"/>
  <c r="R59" i="3"/>
  <c r="K6" i="1" s="1"/>
  <c r="Q59" i="3"/>
  <c r="J6" i="1" s="1"/>
  <c r="P59" i="3"/>
  <c r="I6" i="1" s="1"/>
  <c r="S68" i="3"/>
  <c r="L15" i="1" s="1"/>
  <c r="R68" i="3"/>
  <c r="K15" i="1" s="1"/>
  <c r="Q68" i="3"/>
  <c r="J15" i="1" s="1"/>
  <c r="P68" i="3"/>
  <c r="I15" i="1" s="1"/>
  <c r="S67" i="3"/>
  <c r="L14" i="1" s="1"/>
  <c r="R67" i="3"/>
  <c r="K14" i="1" s="1"/>
  <c r="Q67" i="3"/>
  <c r="J14" i="1" s="1"/>
  <c r="P67" i="3"/>
  <c r="S66" i="3"/>
  <c r="L13" i="1" s="1"/>
  <c r="R66" i="3"/>
  <c r="K13" i="1" s="1"/>
  <c r="Q66" i="3"/>
  <c r="J13" i="1" s="1"/>
  <c r="P66" i="3"/>
  <c r="I13" i="1" s="1"/>
  <c r="S65" i="3"/>
  <c r="L12" i="1" s="1"/>
  <c r="R65" i="3"/>
  <c r="K12" i="1" s="1"/>
  <c r="Q65" i="3"/>
  <c r="J12" i="1" s="1"/>
  <c r="P65" i="3"/>
  <c r="I12" i="1" s="1"/>
  <c r="S64" i="3"/>
  <c r="L11" i="1" s="1"/>
  <c r="R64" i="3"/>
  <c r="K11" i="1" s="1"/>
  <c r="Q64" i="3"/>
  <c r="J11" i="1" s="1"/>
  <c r="P64" i="3"/>
  <c r="I11" i="1" s="1"/>
  <c r="S63" i="3"/>
  <c r="L10" i="1" s="1"/>
  <c r="R63" i="3"/>
  <c r="K10" i="1" s="1"/>
  <c r="Q63" i="3"/>
  <c r="J10" i="1" s="1"/>
  <c r="P63" i="3"/>
  <c r="I10" i="1" s="1"/>
  <c r="S62" i="3"/>
  <c r="L9" i="1" s="1"/>
  <c r="R62" i="3"/>
  <c r="K9" i="1" s="1"/>
  <c r="Q62" i="3"/>
  <c r="J9" i="1" s="1"/>
  <c r="P62" i="3"/>
  <c r="S61" i="3"/>
  <c r="L8" i="1" s="1"/>
  <c r="R61" i="3"/>
  <c r="K8" i="1" s="1"/>
  <c r="Q61" i="3"/>
  <c r="J8" i="1" s="1"/>
  <c r="P61" i="3"/>
  <c r="I8" i="1" s="1"/>
  <c r="S60" i="3"/>
  <c r="L7" i="1" s="1"/>
  <c r="R60" i="3"/>
  <c r="K7" i="1" s="1"/>
  <c r="Q60" i="3"/>
  <c r="J7" i="1" s="1"/>
  <c r="P60" i="3"/>
  <c r="I7" i="1" s="1"/>
  <c r="L18" i="1"/>
  <c r="K18" i="1"/>
  <c r="J18" i="1"/>
  <c r="I18" i="1"/>
  <c r="D38" i="3"/>
  <c r="F38" i="3"/>
  <c r="G38" i="3"/>
  <c r="H38" i="3"/>
  <c r="I38" i="3"/>
  <c r="J38" i="3"/>
  <c r="K18" i="3"/>
  <c r="J40" i="3"/>
  <c r="J18" i="3" s="1"/>
  <c r="I40" i="3"/>
  <c r="I18" i="3" s="1"/>
  <c r="H40" i="3"/>
  <c r="H18" i="3" s="1"/>
  <c r="G18" i="3"/>
  <c r="F18" i="3"/>
  <c r="E40" i="3"/>
  <c r="D18" i="3"/>
  <c r="M18" i="3"/>
  <c r="L18" i="3"/>
  <c r="C18" i="3"/>
  <c r="M15" i="3"/>
  <c r="L15" i="3"/>
  <c r="J15" i="3"/>
  <c r="I15" i="3"/>
  <c r="H15" i="3"/>
  <c r="G15" i="3"/>
  <c r="F15" i="3"/>
  <c r="E15" i="3"/>
  <c r="D15" i="3"/>
  <c r="C15" i="3"/>
  <c r="M14" i="3"/>
  <c r="L14" i="3"/>
  <c r="J14" i="3"/>
  <c r="I14" i="3"/>
  <c r="H14" i="3"/>
  <c r="G14" i="3"/>
  <c r="F14" i="3"/>
  <c r="E14" i="3"/>
  <c r="D14" i="3"/>
  <c r="C14" i="3"/>
  <c r="M13" i="3"/>
  <c r="L13" i="3"/>
  <c r="J13" i="3"/>
  <c r="I13" i="3"/>
  <c r="H13" i="3"/>
  <c r="G13" i="3"/>
  <c r="F13" i="3"/>
  <c r="E13" i="3"/>
  <c r="D13" i="3"/>
  <c r="C13" i="3"/>
  <c r="M12" i="3"/>
  <c r="L12" i="3"/>
  <c r="J12" i="3"/>
  <c r="I12" i="3"/>
  <c r="H12" i="3"/>
  <c r="G12" i="3"/>
  <c r="F12" i="3"/>
  <c r="E12" i="3"/>
  <c r="D12" i="3"/>
  <c r="C12" i="3"/>
  <c r="M11" i="3"/>
  <c r="L11" i="3"/>
  <c r="J11" i="3"/>
  <c r="I11" i="3"/>
  <c r="H11" i="3"/>
  <c r="G11" i="3"/>
  <c r="F11" i="3"/>
  <c r="D11" i="3"/>
  <c r="C11" i="3"/>
  <c r="M10" i="3"/>
  <c r="L10" i="3"/>
  <c r="K10" i="3"/>
  <c r="J10" i="3"/>
  <c r="I10" i="3"/>
  <c r="H10" i="3"/>
  <c r="G10" i="3"/>
  <c r="F10" i="3"/>
  <c r="E10" i="3"/>
  <c r="D10" i="3"/>
  <c r="C10" i="3"/>
  <c r="M9" i="3"/>
  <c r="L9" i="3"/>
  <c r="K9" i="3"/>
  <c r="K16" i="3" s="1"/>
  <c r="J9" i="3"/>
  <c r="I9" i="3"/>
  <c r="H9" i="3"/>
  <c r="G9" i="3"/>
  <c r="E9" i="3"/>
  <c r="D9" i="3"/>
  <c r="C9" i="3"/>
  <c r="M8" i="3"/>
  <c r="L8" i="3"/>
  <c r="K8" i="3"/>
  <c r="J8" i="3"/>
  <c r="I8" i="3"/>
  <c r="H8" i="3"/>
  <c r="G8" i="3"/>
  <c r="F8" i="3"/>
  <c r="E8" i="3"/>
  <c r="D8" i="3"/>
  <c r="C8" i="3"/>
  <c r="M7" i="3"/>
  <c r="L7" i="3"/>
  <c r="F7" i="3"/>
  <c r="E7" i="3"/>
  <c r="D7" i="3"/>
  <c r="C7" i="3"/>
  <c r="M6" i="3"/>
  <c r="L6" i="3"/>
  <c r="K6" i="3"/>
  <c r="J6" i="3"/>
  <c r="I6" i="3"/>
  <c r="H6" i="3"/>
  <c r="G6" i="3"/>
  <c r="F6" i="3"/>
  <c r="E6" i="3"/>
  <c r="D6" i="3"/>
  <c r="C6" i="3"/>
  <c r="S56" i="3"/>
  <c r="R56" i="3"/>
  <c r="Q56" i="3"/>
  <c r="P56" i="3"/>
  <c r="Q9" i="3" l="1"/>
  <c r="D10" i="2" s="1"/>
  <c r="E18" i="3"/>
  <c r="E42" i="3"/>
  <c r="T67" i="3"/>
  <c r="T62" i="3"/>
  <c r="T64" i="3"/>
  <c r="I14" i="1"/>
  <c r="M14" i="1" s="1"/>
  <c r="R69" i="3"/>
  <c r="R73" i="3" s="1"/>
  <c r="P69" i="3"/>
  <c r="P73" i="3" s="1"/>
  <c r="S69" i="3"/>
  <c r="S73" i="3" s="1"/>
  <c r="M18" i="1"/>
  <c r="Q69" i="3"/>
  <c r="Q73" i="3" s="1"/>
  <c r="I9" i="1"/>
  <c r="M9" i="1" s="1"/>
  <c r="T60" i="3"/>
  <c r="T61" i="3"/>
  <c r="T59" i="3"/>
  <c r="T63" i="3"/>
  <c r="T65" i="3"/>
  <c r="T66" i="3"/>
  <c r="T68" i="3"/>
  <c r="M13" i="1"/>
  <c r="M12" i="1"/>
  <c r="M6" i="1"/>
  <c r="M11" i="1"/>
  <c r="M15" i="1"/>
  <c r="M10" i="1"/>
  <c r="J16" i="1"/>
  <c r="J19" i="1" s="1"/>
  <c r="K16" i="1"/>
  <c r="K19" i="1" s="1"/>
  <c r="L16" i="1"/>
  <c r="L19" i="1" s="1"/>
  <c r="M8" i="1"/>
  <c r="M7" i="1"/>
  <c r="I16" i="1" l="1"/>
  <c r="I19" i="1" s="1"/>
  <c r="T69" i="3"/>
  <c r="T73" i="3" s="1"/>
  <c r="M16" i="1"/>
  <c r="M19" i="1" s="1"/>
  <c r="E13" i="7"/>
  <c r="D13" i="7"/>
  <c r="F13" i="7" s="1"/>
  <c r="E12" i="7"/>
  <c r="D12" i="7"/>
  <c r="F8" i="7"/>
  <c r="F7" i="7"/>
  <c r="E9" i="7"/>
  <c r="D9" i="7"/>
  <c r="F9" i="7" s="1"/>
  <c r="C9" i="7"/>
  <c r="D14" i="7" l="1"/>
  <c r="D16" i="7" s="1"/>
  <c r="F12" i="7"/>
  <c r="C14" i="7"/>
  <c r="C16" i="7" s="1"/>
  <c r="E14" i="7"/>
  <c r="E16" i="7" s="1"/>
  <c r="F14" i="7"/>
  <c r="F16" i="7" s="1"/>
  <c r="L10" i="2" l="1"/>
  <c r="K10" i="2"/>
  <c r="J10" i="2"/>
  <c r="L9" i="2"/>
  <c r="K9" i="2"/>
  <c r="J9" i="2"/>
  <c r="M11" i="2"/>
  <c r="M28" i="2" s="1"/>
  <c r="L11" i="2"/>
  <c r="K11" i="2"/>
  <c r="J11" i="2"/>
  <c r="L12" i="2"/>
  <c r="K12" i="2"/>
  <c r="J12" i="2"/>
  <c r="L13" i="2"/>
  <c r="K13" i="2"/>
  <c r="J13" i="2"/>
  <c r="M15" i="2"/>
  <c r="M27" i="2" s="1"/>
  <c r="L15" i="2"/>
  <c r="K15" i="2"/>
  <c r="J15" i="2"/>
  <c r="J27" i="2" l="1"/>
  <c r="M29" i="2"/>
  <c r="L28" i="2"/>
  <c r="J28" i="2"/>
  <c r="K28" i="2"/>
  <c r="K27" i="2"/>
  <c r="L27" i="2"/>
  <c r="K29" i="2" l="1"/>
  <c r="J29" i="2"/>
  <c r="L29" i="2"/>
  <c r="N9" i="3"/>
  <c r="N18" i="3"/>
  <c r="N15" i="3"/>
  <c r="N14" i="3"/>
  <c r="N13" i="3"/>
  <c r="N12" i="3"/>
  <c r="N11" i="3"/>
  <c r="N10" i="3"/>
  <c r="N8" i="3"/>
  <c r="N7" i="3"/>
  <c r="N6" i="3"/>
  <c r="D42" i="3"/>
  <c r="F42" i="3"/>
  <c r="G42" i="3"/>
  <c r="H42" i="3"/>
  <c r="I42" i="3"/>
  <c r="J42" i="3"/>
  <c r="C38" i="3"/>
  <c r="C42" i="3" s="1"/>
  <c r="N27" i="3"/>
  <c r="D27" i="3"/>
  <c r="E27" i="3"/>
  <c r="F27" i="3"/>
  <c r="G27" i="3"/>
  <c r="H27" i="3"/>
  <c r="I27" i="3"/>
  <c r="J27" i="3"/>
  <c r="K27" i="3"/>
  <c r="L27" i="3"/>
  <c r="M27" i="3"/>
  <c r="C27" i="3"/>
  <c r="B40" i="3"/>
  <c r="B29" i="3"/>
  <c r="B30" i="3"/>
  <c r="B31" i="3"/>
  <c r="B32" i="3"/>
  <c r="B33" i="3"/>
  <c r="B34" i="3"/>
  <c r="B35" i="3"/>
  <c r="B36" i="3"/>
  <c r="B37" i="3"/>
  <c r="B28" i="3"/>
  <c r="N16" i="2"/>
  <c r="N15" i="2"/>
  <c r="N14" i="2"/>
  <c r="N13" i="2"/>
  <c r="N12" i="2"/>
  <c r="N11" i="2"/>
  <c r="N10" i="2"/>
  <c r="N9" i="2"/>
  <c r="N8" i="2"/>
  <c r="N7" i="2"/>
  <c r="I16" i="2"/>
  <c r="P16" i="2" s="1"/>
  <c r="I15" i="2"/>
  <c r="P15" i="2" s="1"/>
  <c r="I14" i="2"/>
  <c r="P14" i="2" s="1"/>
  <c r="I13" i="2"/>
  <c r="P13" i="2" s="1"/>
  <c r="I12" i="2"/>
  <c r="P12" i="2" s="1"/>
  <c r="I11" i="2"/>
  <c r="P11" i="2" s="1"/>
  <c r="I10" i="2"/>
  <c r="P10" i="2" s="1"/>
  <c r="P9" i="2"/>
  <c r="I8" i="2"/>
  <c r="P8" i="2" s="1"/>
  <c r="I7" i="2"/>
  <c r="P7" i="2" s="1"/>
  <c r="N19" i="2"/>
  <c r="M17" i="2"/>
  <c r="M20" i="2" s="1"/>
  <c r="L17" i="2"/>
  <c r="L20" i="2" s="1"/>
  <c r="K17" i="2"/>
  <c r="K20" i="2" s="1"/>
  <c r="J17" i="2"/>
  <c r="J20" i="2" s="1"/>
  <c r="J18" i="4"/>
  <c r="N11" i="4"/>
  <c r="M11" i="4"/>
  <c r="L11" i="4"/>
  <c r="K11" i="4"/>
  <c r="D11" i="4"/>
  <c r="C11" i="4"/>
  <c r="N10" i="4"/>
  <c r="M10" i="4"/>
  <c r="L10" i="4"/>
  <c r="K10" i="4"/>
  <c r="J10" i="4"/>
  <c r="I10" i="4"/>
  <c r="H10" i="4"/>
  <c r="G10" i="4"/>
  <c r="E10" i="4"/>
  <c r="J8" i="4"/>
  <c r="J11" i="4" s="1"/>
  <c r="I8" i="4"/>
  <c r="I11" i="4" s="1"/>
  <c r="H8" i="4"/>
  <c r="G8" i="4"/>
  <c r="F8" i="4"/>
  <c r="E8" i="4"/>
  <c r="F7" i="4"/>
  <c r="D7" i="4"/>
  <c r="C7" i="4"/>
  <c r="H5" i="4"/>
  <c r="G5" i="4"/>
  <c r="F5" i="4"/>
  <c r="E5" i="4"/>
  <c r="F4" i="4"/>
  <c r="D4" i="4"/>
  <c r="D10" i="4" s="1"/>
  <c r="C4" i="4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R35" i="1"/>
  <c r="S35" i="1" s="1"/>
  <c r="R30" i="1"/>
  <c r="Q30" i="1"/>
  <c r="P30" i="1"/>
  <c r="R27" i="1"/>
  <c r="Q27" i="1"/>
  <c r="R26" i="1"/>
  <c r="Q25" i="1"/>
  <c r="P25" i="1"/>
  <c r="O25" i="1"/>
  <c r="Q24" i="1"/>
  <c r="P24" i="1"/>
  <c r="I27" i="1"/>
  <c r="L25" i="1"/>
  <c r="K25" i="1"/>
  <c r="I24" i="1"/>
  <c r="E30" i="1"/>
  <c r="D30" i="1"/>
  <c r="C30" i="1"/>
  <c r="F29" i="1"/>
  <c r="F27" i="1"/>
  <c r="E27" i="1"/>
  <c r="D27" i="1"/>
  <c r="C27" i="1"/>
  <c r="F26" i="1"/>
  <c r="D25" i="1"/>
  <c r="C25" i="1"/>
  <c r="C24" i="1"/>
  <c r="G32" i="1"/>
  <c r="M32" i="1"/>
  <c r="S32" i="1"/>
  <c r="F31" i="1"/>
  <c r="E31" i="1"/>
  <c r="D31" i="1"/>
  <c r="C31" i="1"/>
  <c r="K31" i="1"/>
  <c r="M31" i="1" s="1"/>
  <c r="S31" i="1"/>
  <c r="F30" i="1"/>
  <c r="M30" i="1"/>
  <c r="E29" i="1"/>
  <c r="D29" i="1"/>
  <c r="C29" i="1"/>
  <c r="M29" i="1"/>
  <c r="S29" i="1"/>
  <c r="F28" i="1"/>
  <c r="E28" i="1"/>
  <c r="D28" i="1"/>
  <c r="M28" i="1"/>
  <c r="S28" i="1"/>
  <c r="L27" i="1"/>
  <c r="K27" i="1"/>
  <c r="J27" i="1"/>
  <c r="O27" i="1"/>
  <c r="E26" i="1"/>
  <c r="D26" i="1"/>
  <c r="L26" i="1"/>
  <c r="K26" i="1"/>
  <c r="J26" i="1"/>
  <c r="I26" i="1"/>
  <c r="Q26" i="1"/>
  <c r="P26" i="1"/>
  <c r="O26" i="1"/>
  <c r="F25" i="1"/>
  <c r="E25" i="1"/>
  <c r="I25" i="1"/>
  <c r="R25" i="1"/>
  <c r="F24" i="1"/>
  <c r="E24" i="1"/>
  <c r="L24" i="1"/>
  <c r="K24" i="1"/>
  <c r="J24" i="1"/>
  <c r="O24" i="1"/>
  <c r="D9" i="1" l="1"/>
  <c r="N27" i="2"/>
  <c r="N28" i="2"/>
  <c r="S12" i="3"/>
  <c r="S18" i="3"/>
  <c r="F19" i="2" s="1"/>
  <c r="T19" i="2" s="1"/>
  <c r="R18" i="3"/>
  <c r="E19" i="2" s="1"/>
  <c r="E18" i="1" s="1"/>
  <c r="Q8" i="3"/>
  <c r="D9" i="2" s="1"/>
  <c r="D8" i="1" s="1"/>
  <c r="S8" i="3"/>
  <c r="F9" i="2" s="1"/>
  <c r="F8" i="1" s="1"/>
  <c r="P12" i="3"/>
  <c r="C13" i="2" s="1"/>
  <c r="Q13" i="2" s="1"/>
  <c r="S15" i="3"/>
  <c r="F16" i="2" s="1"/>
  <c r="T16" i="2" s="1"/>
  <c r="P10" i="3"/>
  <c r="C11" i="2" s="1"/>
  <c r="Q11" i="2" s="1"/>
  <c r="R10" i="3"/>
  <c r="E11" i="2" s="1"/>
  <c r="S11" i="2" s="1"/>
  <c r="Q10" i="3"/>
  <c r="D11" i="2" s="1"/>
  <c r="R11" i="2" s="1"/>
  <c r="Q12" i="3"/>
  <c r="D13" i="2" s="1"/>
  <c r="D12" i="1" s="1"/>
  <c r="P11" i="3"/>
  <c r="C12" i="2" s="1"/>
  <c r="C11" i="1" s="1"/>
  <c r="S14" i="3"/>
  <c r="F15" i="2" s="1"/>
  <c r="F14" i="1" s="1"/>
  <c r="Q11" i="3"/>
  <c r="D12" i="2" s="1"/>
  <c r="D11" i="1" s="1"/>
  <c r="P8" i="3"/>
  <c r="C9" i="2" s="1"/>
  <c r="C8" i="1" s="1"/>
  <c r="P7" i="3"/>
  <c r="C8" i="2" s="1"/>
  <c r="Q8" i="2" s="1"/>
  <c r="S13" i="3"/>
  <c r="F14" i="2" s="1"/>
  <c r="T14" i="2" s="1"/>
  <c r="E12" i="2"/>
  <c r="R6" i="3"/>
  <c r="E7" i="2" s="1"/>
  <c r="L16" i="3"/>
  <c r="Q14" i="3"/>
  <c r="D15" i="2" s="1"/>
  <c r="D14" i="1" s="1"/>
  <c r="S10" i="3"/>
  <c r="F11" i="2" s="1"/>
  <c r="S11" i="3"/>
  <c r="F12" i="2" s="1"/>
  <c r="F11" i="1" s="1"/>
  <c r="P14" i="3"/>
  <c r="C15" i="2" s="1"/>
  <c r="C14" i="1" s="1"/>
  <c r="Q13" i="3"/>
  <c r="D14" i="2" s="1"/>
  <c r="R14" i="2" s="1"/>
  <c r="R14" i="3"/>
  <c r="E15" i="2" s="1"/>
  <c r="C10" i="4"/>
  <c r="F10" i="4"/>
  <c r="E11" i="4"/>
  <c r="F11" i="4"/>
  <c r="G11" i="4"/>
  <c r="H11" i="4"/>
  <c r="P13" i="3"/>
  <c r="C14" i="2" s="1"/>
  <c r="Q14" i="2" s="1"/>
  <c r="R13" i="3"/>
  <c r="E14" i="2" s="1"/>
  <c r="S14" i="2" s="1"/>
  <c r="S6" i="3"/>
  <c r="F7" i="2" s="1"/>
  <c r="P15" i="3"/>
  <c r="C16" i="2" s="1"/>
  <c r="Q16" i="2" s="1"/>
  <c r="Q15" i="3"/>
  <c r="D16" i="2" s="1"/>
  <c r="R16" i="2" s="1"/>
  <c r="R8" i="3"/>
  <c r="E9" i="2" s="1"/>
  <c r="S9" i="2" s="1"/>
  <c r="R12" i="3"/>
  <c r="E13" i="2" s="1"/>
  <c r="E12" i="1" s="1"/>
  <c r="R15" i="3"/>
  <c r="P18" i="3"/>
  <c r="C19" i="2" s="1"/>
  <c r="C18" i="1" s="1"/>
  <c r="N16" i="3"/>
  <c r="N37" i="4" s="1"/>
  <c r="S7" i="3"/>
  <c r="F8" i="2" s="1"/>
  <c r="F7" i="1" s="1"/>
  <c r="K20" i="3"/>
  <c r="H16" i="3"/>
  <c r="H20" i="3" s="1"/>
  <c r="I16" i="3"/>
  <c r="I37" i="4" s="1"/>
  <c r="J16" i="3"/>
  <c r="J37" i="4" s="1"/>
  <c r="P6" i="3"/>
  <c r="C7" i="2" s="1"/>
  <c r="R9" i="3"/>
  <c r="E10" i="2" s="1"/>
  <c r="D37" i="4"/>
  <c r="E37" i="4"/>
  <c r="Q18" i="3"/>
  <c r="D19" i="2" s="1"/>
  <c r="R19" i="2" s="1"/>
  <c r="O30" i="1"/>
  <c r="S30" i="1" s="1"/>
  <c r="C28" i="1"/>
  <c r="G28" i="1" s="1"/>
  <c r="N17" i="2"/>
  <c r="N20" i="2" s="1"/>
  <c r="G31" i="1"/>
  <c r="G25" i="1"/>
  <c r="S25" i="1"/>
  <c r="S26" i="1"/>
  <c r="G27" i="1"/>
  <c r="G30" i="1"/>
  <c r="E33" i="1"/>
  <c r="E36" i="1" s="1"/>
  <c r="Q33" i="1"/>
  <c r="Q36" i="1" s="1"/>
  <c r="F33" i="1"/>
  <c r="M27" i="1"/>
  <c r="M26" i="1"/>
  <c r="C26" i="1"/>
  <c r="G26" i="1" s="1"/>
  <c r="R7" i="3"/>
  <c r="E8" i="2" s="1"/>
  <c r="S8" i="2" s="1"/>
  <c r="D24" i="1"/>
  <c r="D33" i="1" s="1"/>
  <c r="D36" i="1" s="1"/>
  <c r="J25" i="1"/>
  <c r="L33" i="1"/>
  <c r="I33" i="1"/>
  <c r="P27" i="1"/>
  <c r="P33" i="1" s="1"/>
  <c r="P36" i="1" s="1"/>
  <c r="Q6" i="3"/>
  <c r="D7" i="2" s="1"/>
  <c r="K33" i="1"/>
  <c r="K36" i="1" s="1"/>
  <c r="Q7" i="3"/>
  <c r="D8" i="2" s="1"/>
  <c r="R8" i="2" s="1"/>
  <c r="M24" i="1"/>
  <c r="G29" i="1"/>
  <c r="M16" i="3"/>
  <c r="P9" i="3"/>
  <c r="C10" i="2" s="1"/>
  <c r="E28" i="2" l="1"/>
  <c r="R10" i="2"/>
  <c r="R28" i="2" s="1"/>
  <c r="F13" i="2"/>
  <c r="T13" i="2" s="1"/>
  <c r="C6" i="1"/>
  <c r="C27" i="2"/>
  <c r="E9" i="1"/>
  <c r="C9" i="1"/>
  <c r="C28" i="2"/>
  <c r="E6" i="1"/>
  <c r="D6" i="1"/>
  <c r="D27" i="2"/>
  <c r="D28" i="2"/>
  <c r="N29" i="2"/>
  <c r="F10" i="1"/>
  <c r="S19" i="2"/>
  <c r="R9" i="2"/>
  <c r="F15" i="1"/>
  <c r="T9" i="2"/>
  <c r="C10" i="1"/>
  <c r="C12" i="1"/>
  <c r="E10" i="1"/>
  <c r="R13" i="2"/>
  <c r="D10" i="1"/>
  <c r="F13" i="1"/>
  <c r="Q12" i="2"/>
  <c r="D18" i="1"/>
  <c r="Q7" i="2"/>
  <c r="R7" i="2"/>
  <c r="G9" i="2"/>
  <c r="S7" i="2"/>
  <c r="C7" i="1"/>
  <c r="T8" i="2"/>
  <c r="U8" i="2" s="1"/>
  <c r="D7" i="1"/>
  <c r="R12" i="2"/>
  <c r="T15" i="2"/>
  <c r="S13" i="2"/>
  <c r="G8" i="2"/>
  <c r="E8" i="1"/>
  <c r="G8" i="1" s="1"/>
  <c r="E11" i="1"/>
  <c r="G11" i="1" s="1"/>
  <c r="S12" i="2"/>
  <c r="S10" i="2"/>
  <c r="S28" i="2" s="1"/>
  <c r="E7" i="1"/>
  <c r="Q10" i="2"/>
  <c r="Q28" i="2" s="1"/>
  <c r="Q9" i="2"/>
  <c r="C15" i="1"/>
  <c r="Q19" i="2"/>
  <c r="R15" i="2"/>
  <c r="S9" i="3"/>
  <c r="D13" i="1"/>
  <c r="D17" i="2"/>
  <c r="D15" i="1"/>
  <c r="U14" i="2"/>
  <c r="T11" i="2"/>
  <c r="G11" i="2"/>
  <c r="T10" i="3"/>
  <c r="F6" i="1"/>
  <c r="T7" i="2"/>
  <c r="G7" i="2"/>
  <c r="T12" i="2"/>
  <c r="G12" i="2"/>
  <c r="T11" i="3"/>
  <c r="G15" i="2"/>
  <c r="Q15" i="2"/>
  <c r="G14" i="2"/>
  <c r="H37" i="4"/>
  <c r="C17" i="2"/>
  <c r="C29" i="4" s="1"/>
  <c r="T14" i="3"/>
  <c r="C13" i="1"/>
  <c r="T15" i="3"/>
  <c r="E16" i="2"/>
  <c r="E27" i="2" s="1"/>
  <c r="E13" i="1"/>
  <c r="S15" i="2"/>
  <c r="E14" i="1"/>
  <c r="G14" i="1" s="1"/>
  <c r="F18" i="1"/>
  <c r="T13" i="3"/>
  <c r="T8" i="3"/>
  <c r="T12" i="3"/>
  <c r="G35" i="1"/>
  <c r="N20" i="3"/>
  <c r="J20" i="3"/>
  <c r="K37" i="4"/>
  <c r="I20" i="3"/>
  <c r="F36" i="1"/>
  <c r="D20" i="3"/>
  <c r="T6" i="3"/>
  <c r="E20" i="3"/>
  <c r="O33" i="1"/>
  <c r="O36" i="1" s="1"/>
  <c r="L36" i="1"/>
  <c r="G19" i="2"/>
  <c r="C33" i="1"/>
  <c r="C36" i="1" s="1"/>
  <c r="S27" i="1"/>
  <c r="G24" i="1"/>
  <c r="G33" i="1" s="1"/>
  <c r="R24" i="1"/>
  <c r="G37" i="4"/>
  <c r="G20" i="3"/>
  <c r="F37" i="4"/>
  <c r="F20" i="3"/>
  <c r="M25" i="1"/>
  <c r="M33" i="1" s="1"/>
  <c r="C20" i="3"/>
  <c r="C23" i="3" s="1"/>
  <c r="C37" i="4"/>
  <c r="Q16" i="3"/>
  <c r="Q20" i="3" s="1"/>
  <c r="L37" i="4"/>
  <c r="L20" i="3"/>
  <c r="T7" i="3"/>
  <c r="M35" i="1"/>
  <c r="R16" i="3"/>
  <c r="R20" i="3" s="1"/>
  <c r="T18" i="3"/>
  <c r="J33" i="1"/>
  <c r="J36" i="1" s="1"/>
  <c r="M37" i="4"/>
  <c r="M20" i="3"/>
  <c r="P16" i="3"/>
  <c r="P20" i="3" s="1"/>
  <c r="I36" i="1"/>
  <c r="D20" i="2" l="1"/>
  <c r="D29" i="4"/>
  <c r="F27" i="2"/>
  <c r="G13" i="2"/>
  <c r="F12" i="1"/>
  <c r="R27" i="2"/>
  <c r="R29" i="2" s="1"/>
  <c r="U19" i="2"/>
  <c r="D29" i="2"/>
  <c r="E29" i="2"/>
  <c r="C29" i="2"/>
  <c r="Q27" i="2"/>
  <c r="Q29" i="2" s="1"/>
  <c r="T27" i="2"/>
  <c r="U11" i="2"/>
  <c r="G10" i="1"/>
  <c r="G6" i="1"/>
  <c r="U13" i="2"/>
  <c r="U9" i="2"/>
  <c r="G18" i="1"/>
  <c r="F10" i="2"/>
  <c r="Q17" i="2"/>
  <c r="Q20" i="2" s="1"/>
  <c r="G7" i="1"/>
  <c r="R17" i="2"/>
  <c r="R20" i="2" s="1"/>
  <c r="U7" i="2"/>
  <c r="C16" i="1"/>
  <c r="C20" i="4" s="1"/>
  <c r="U12" i="2"/>
  <c r="T9" i="3"/>
  <c r="T16" i="3" s="1"/>
  <c r="T20" i="3" s="1"/>
  <c r="S16" i="3"/>
  <c r="S20" i="3" s="1"/>
  <c r="G36" i="1"/>
  <c r="G13" i="1"/>
  <c r="D16" i="1"/>
  <c r="D20" i="4" s="1"/>
  <c r="U15" i="2"/>
  <c r="O37" i="4"/>
  <c r="S16" i="2"/>
  <c r="U16" i="2" s="1"/>
  <c r="E15" i="1"/>
  <c r="G15" i="1" s="1"/>
  <c r="G16" i="2"/>
  <c r="E17" i="2"/>
  <c r="E29" i="4" s="1"/>
  <c r="C20" i="2"/>
  <c r="M36" i="1"/>
  <c r="R33" i="1"/>
  <c r="R36" i="1" s="1"/>
  <c r="S24" i="1"/>
  <c r="S33" i="1" s="1"/>
  <c r="S36" i="1" s="1"/>
  <c r="G12" i="1" l="1"/>
  <c r="G27" i="2"/>
  <c r="T10" i="2"/>
  <c r="F28" i="2"/>
  <c r="F29" i="2" s="1"/>
  <c r="U27" i="2"/>
  <c r="S27" i="2"/>
  <c r="S29" i="2" s="1"/>
  <c r="C19" i="1"/>
  <c r="F9" i="1"/>
  <c r="G10" i="2"/>
  <c r="F17" i="2"/>
  <c r="D19" i="1"/>
  <c r="S17" i="2"/>
  <c r="S20" i="2" s="1"/>
  <c r="E20" i="2"/>
  <c r="E16" i="1"/>
  <c r="F20" i="2" l="1"/>
  <c r="F29" i="4"/>
  <c r="H31" i="4" s="1"/>
  <c r="T28" i="2"/>
  <c r="T29" i="2" s="1"/>
  <c r="T17" i="2"/>
  <c r="T20" i="2" s="1"/>
  <c r="U10" i="2"/>
  <c r="U17" i="2" s="1"/>
  <c r="U20" i="2" s="1"/>
  <c r="G17" i="2"/>
  <c r="G29" i="4" s="1"/>
  <c r="G28" i="2"/>
  <c r="G29" i="2" s="1"/>
  <c r="G9" i="1"/>
  <c r="F16" i="1"/>
  <c r="E19" i="1"/>
  <c r="E20" i="4"/>
  <c r="G20" i="2" l="1"/>
  <c r="U28" i="2"/>
  <c r="U29" i="2" s="1"/>
  <c r="G16" i="1"/>
  <c r="G19" i="1" s="1"/>
  <c r="F19" i="1"/>
  <c r="F20" i="4"/>
  <c r="G20" i="4" l="1"/>
</calcChain>
</file>

<file path=xl/sharedStrings.xml><?xml version="1.0" encoding="utf-8"?>
<sst xmlns="http://schemas.openxmlformats.org/spreadsheetml/2006/main" count="1114" uniqueCount="370">
  <si>
    <t>PodcastOne - Pacing Summary</t>
  </si>
  <si>
    <t>Fiscal 2022</t>
  </si>
  <si>
    <t>Fiscal 2023</t>
  </si>
  <si>
    <t>Fiscal 2024</t>
  </si>
  <si>
    <t>Fiscal 2025</t>
  </si>
  <si>
    <t>Gross Revenue</t>
  </si>
  <si>
    <t>Q1</t>
  </si>
  <si>
    <t>Q2</t>
  </si>
  <si>
    <t>Q3</t>
  </si>
  <si>
    <t>Q4</t>
  </si>
  <si>
    <t>FY2022
YTD</t>
  </si>
  <si>
    <t>FY2023
YTD</t>
  </si>
  <si>
    <t>FY2024
YTD</t>
  </si>
  <si>
    <t>Podcast Ads (includes Acctg entries)</t>
  </si>
  <si>
    <t>Audiomax</t>
  </si>
  <si>
    <t>Premium</t>
  </si>
  <si>
    <t>Motortrend</t>
  </si>
  <si>
    <t>Live Shows</t>
  </si>
  <si>
    <t>Merchandise</t>
  </si>
  <si>
    <t>SCA</t>
  </si>
  <si>
    <t>LXL Shared Deals</t>
  </si>
  <si>
    <t>Paywall</t>
  </si>
  <si>
    <t>Total (Excl Barter)</t>
  </si>
  <si>
    <t>Barter</t>
  </si>
  <si>
    <t>Total (Inc Barter)</t>
  </si>
  <si>
    <t>Difference</t>
  </si>
  <si>
    <t>Budget</t>
  </si>
  <si>
    <t>Variance</t>
  </si>
  <si>
    <t>FY2025</t>
  </si>
  <si>
    <t>Podroll</t>
  </si>
  <si>
    <t>xx</t>
  </si>
  <si>
    <t>xxx</t>
  </si>
  <si>
    <t>FY 2025</t>
  </si>
  <si>
    <t>Calendar Year:</t>
  </si>
  <si>
    <t>PodcastOne - Gross Revenue</t>
  </si>
  <si>
    <t>Actual</t>
  </si>
  <si>
    <t>Forecast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</si>
  <si>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</si>
  <si>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</si>
  <si>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</si>
  <si>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</si>
  <si>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</si>
  <si>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</si>
  <si>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</si>
  <si>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</si>
  <si>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</si>
  <si>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</si>
  <si>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</si>
  <si>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</si>
  <si>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 </t>
  </si>
  <si>
    <t>FY 2025 YTD</t>
  </si>
  <si>
    <t>Total (Incl Barter)</t>
  </si>
  <si>
    <t>Adswizz Revenue</t>
  </si>
  <si>
    <t>Adswizz Cost</t>
  </si>
  <si>
    <t>FY 2024</t>
  </si>
  <si>
    <t>2023</t>
  </si>
  <si>
    <t>2024</t>
  </si>
  <si>
    <t>FY 2024 YTD</t>
  </si>
  <si>
    <t>Podcast Ads (BnB)</t>
  </si>
  <si>
    <t>FY 2023</t>
  </si>
  <si>
    <t>2022</t>
  </si>
  <si>
    <t>FY 2023 YTD</t>
  </si>
  <si>
    <t>FY 2022</t>
  </si>
  <si>
    <t>2021</t>
  </si>
  <si>
    <t>FY 2022 YTD</t>
  </si>
  <si>
    <t>FY 2021</t>
  </si>
  <si>
    <t>2020</t>
  </si>
  <si>
    <t>FY 2021 YTD</t>
  </si>
  <si>
    <t>Current</t>
  </si>
  <si>
    <t>Prior</t>
  </si>
  <si>
    <t>Pacing - Yearly Summary</t>
  </si>
  <si>
    <t>Total</t>
  </si>
  <si>
    <t>ME CLOSE</t>
  </si>
  <si>
    <t>Adswizz</t>
  </si>
  <si>
    <t>Prior Week Input</t>
  </si>
  <si>
    <t>BnB</t>
  </si>
  <si>
    <t>Week overWeek Changes</t>
  </si>
  <si>
    <t>Pacing - Act. vs Budget</t>
  </si>
  <si>
    <t>Pacing - Monthly Inputs (actuals)</t>
  </si>
  <si>
    <t>Programmatic Revenue</t>
  </si>
  <si>
    <t>PodcastOne - Pacing Summary Actuals</t>
  </si>
  <si>
    <t>FY2025 YTD
YTD</t>
  </si>
  <si>
    <t>BNB – Embedded Direct</t>
  </si>
  <si>
    <t>BNB – DAI Direct</t>
  </si>
  <si>
    <t>BNB – Other (social / segments / other)</t>
  </si>
  <si>
    <t>Art 19  - MG or billed</t>
  </si>
  <si>
    <t>PodcastOne Pro</t>
  </si>
  <si>
    <t>Subscription Revenues</t>
  </si>
  <si>
    <t>Trade</t>
  </si>
  <si>
    <t>Other Revenues</t>
  </si>
  <si>
    <t>BNB – Other (social / segments / etc)</t>
  </si>
  <si>
    <t>Revised Revenue Categories</t>
  </si>
  <si>
    <t>Prior Year History</t>
  </si>
  <si>
    <t>Inputs to Feed to Summary Above:</t>
  </si>
  <si>
    <t>Prior Revenue Categories</t>
  </si>
  <si>
    <t>update the budget with the revised numbers on the street</t>
  </si>
  <si>
    <t>confirm with kit this view is OK</t>
  </si>
  <si>
    <t>Weekly Inputs for Reconciliation:</t>
  </si>
  <si>
    <t>Phil</t>
  </si>
  <si>
    <t>Ellie</t>
  </si>
  <si>
    <t>Michal</t>
  </si>
  <si>
    <t>(Jim L. / Alistair</t>
  </si>
  <si>
    <t>N/A</t>
  </si>
  <si>
    <t>Reference Guide:</t>
  </si>
  <si>
    <t>sheet 1</t>
  </si>
  <si>
    <t>sheet 2</t>
  </si>
  <si>
    <t>sheet 3</t>
  </si>
  <si>
    <t>get the q1 forecasts from everyone</t>
  </si>
  <si>
    <t>Podcast Ads (includes Act entries)</t>
  </si>
  <si>
    <t>Ellie Programmatic</t>
  </si>
  <si>
    <t>+ over budget / - under budget</t>
  </si>
  <si>
    <t>Pacing</t>
  </si>
  <si>
    <t>Programmatic</t>
  </si>
  <si>
    <t>Direct &amp; Other</t>
  </si>
  <si>
    <t>FY 2026</t>
  </si>
  <si>
    <t>FY 2026 YTD</t>
  </si>
  <si>
    <t>Fiscal 2026</t>
  </si>
  <si>
    <t>FY2026 YTD
YTD</t>
  </si>
  <si>
    <r>
      <t>Fiscal 2026</t>
    </r>
    <r>
      <rPr>
        <b/>
        <sz val="17"/>
        <color rgb="FFFF0000"/>
        <rFont val="Calibri"/>
        <family val="2"/>
      </rPr>
      <t xml:space="preserve"> (FY25 Figures)</t>
    </r>
  </si>
  <si>
    <t>Art19 Gross Revenue</t>
  </si>
  <si>
    <t>billednbooked</t>
  </si>
  <si>
    <t>Red Circle</t>
  </si>
  <si>
    <t>Azerion</t>
  </si>
  <si>
    <t>Triton</t>
  </si>
  <si>
    <t>Audiohook</t>
  </si>
  <si>
    <t>Product</t>
  </si>
  <si>
    <t>Podcast</t>
  </si>
  <si>
    <t xml:space="preserve"> Adam Carolla Show</t>
  </si>
  <si>
    <t xml:space="preserve"> American Justice</t>
  </si>
  <si>
    <t xml:space="preserve"> Barely Famous with Kail Lowry</t>
  </si>
  <si>
    <t xml:space="preserve"> Beach Too Sandy Water Too Wet</t>
  </si>
  <si>
    <t xml:space="preserve"> Bitch Bible</t>
  </si>
  <si>
    <t xml:space="preserve"> BroadSide</t>
  </si>
  <si>
    <t xml:space="preserve"> Camp Counselors</t>
  </si>
  <si>
    <t>Cate and Ty</t>
  </si>
  <si>
    <t>Chrisley Confessions</t>
  </si>
  <si>
    <t>City Confidential</t>
  </si>
  <si>
    <t xml:space="preserve"> Coffee Convos</t>
  </si>
  <si>
    <t xml:space="preserve"> Cold Case Files</t>
  </si>
  <si>
    <t xml:space="preserve"> Court Junkie</t>
  </si>
  <si>
    <t xml:space="preserve"> Delusional Diaries</t>
  </si>
  <si>
    <t xml:space="preserve"> Detox Retox</t>
  </si>
  <si>
    <t xml:space="preserve"> Dumb Gay Podcast</t>
  </si>
  <si>
    <t xml:space="preserve"> Fool Coverage</t>
  </si>
  <si>
    <t xml:space="preserve"> IHIP News</t>
  </si>
  <si>
    <t xml:space="preserve"> I Survived</t>
  </si>
  <si>
    <t xml:space="preserve"> I've Had It</t>
  </si>
  <si>
    <t>Karma and Chaos (Baby Mama)</t>
  </si>
  <si>
    <t xml:space="preserve"> LadyGang</t>
  </si>
  <si>
    <t xml:space="preserve"> Love Murder</t>
  </si>
  <si>
    <t xml:space="preserve"> Mint Arrow Messages</t>
  </si>
  <si>
    <t xml:space="preserve"> Notsam Wrestling</t>
  </si>
  <si>
    <t xml:space="preserve"> Off The Vine with Kaitlyn Bristowe</t>
  </si>
  <si>
    <t xml:space="preserve"> Our Fake History</t>
  </si>
  <si>
    <t xml:space="preserve"> Pop Apologists</t>
  </si>
  <si>
    <t xml:space="preserve"> Some More News</t>
  </si>
  <si>
    <t xml:space="preserve"> Stassi</t>
  </si>
  <si>
    <t xml:space="preserve"> Tactful Pettiness</t>
  </si>
  <si>
    <t xml:space="preserve"> The Adam and Dr. Drew Show</t>
  </si>
  <si>
    <t xml:space="preserve"> The Consult</t>
  </si>
  <si>
    <t xml:space="preserve"> The Dr. Gundry Podcast</t>
  </si>
  <si>
    <t xml:space="preserve"> The Fighter and the Kid</t>
  </si>
  <si>
    <t xml:space="preserve"> The Golden Hour</t>
  </si>
  <si>
    <t xml:space="preserve"> The James Altucher Show</t>
  </si>
  <si>
    <t xml:space="preserve"> The Jordan Harbinger Show</t>
  </si>
  <si>
    <t xml:space="preserve"> The Opportunist</t>
  </si>
  <si>
    <t xml:space="preserve"> The Prosecutors</t>
  </si>
  <si>
    <t xml:space="preserve"> The Schuab Show</t>
  </si>
  <si>
    <t>The Southern Tea</t>
  </si>
  <si>
    <t xml:space="preserve"> The Steve Austin Show</t>
  </si>
  <si>
    <t xml:space="preserve"> Toni Bryanne Podcast</t>
  </si>
  <si>
    <t xml:space="preserve"> True Crime All The Time Unsolved</t>
  </si>
  <si>
    <t xml:space="preserve"> Unlocked Savannah Chrisley</t>
  </si>
  <si>
    <t xml:space="preserve"> Was I In A Cult</t>
  </si>
  <si>
    <t>When Reality Hits</t>
  </si>
  <si>
    <t xml:space="preserve"> Your Welcome with Michael Malice</t>
  </si>
  <si>
    <t>Adam Carolla Show | DAI</t>
  </si>
  <si>
    <t>Barely Famous | DAI</t>
  </si>
  <si>
    <t>Coffee Convos | DAI</t>
  </si>
  <si>
    <t xml:space="preserve"> I've had it | DAI</t>
  </si>
  <si>
    <t>LadyGang | DAI</t>
  </si>
  <si>
    <t>Off The Vine with Kaitlyn Bristowe | DAI</t>
  </si>
  <si>
    <t>PodcastOne | DAI</t>
  </si>
  <si>
    <t xml:space="preserve"> Pop Apologists | DAI</t>
  </si>
  <si>
    <t>The Fighter and Kid | DAI</t>
  </si>
  <si>
    <t>The Jordan Harbinger Show | DAI</t>
  </si>
  <si>
    <t>When Reality Hits| DAI</t>
  </si>
  <si>
    <t>Social</t>
  </si>
  <si>
    <t xml:space="preserve"> Adam Carolla Show |Social</t>
  </si>
  <si>
    <t xml:space="preserve"> Fool Coverage |Social</t>
  </si>
  <si>
    <t xml:space="preserve"> Off The Vine | Social</t>
  </si>
  <si>
    <t xml:space="preserve"> The Dr. Gundry Podcast | Social</t>
  </si>
  <si>
    <t xml:space="preserve"> The Schaub Show | Social</t>
  </si>
  <si>
    <t>Totals:</t>
  </si>
  <si>
    <t>Billable Net</t>
  </si>
  <si>
    <t>Billable (Gross Advertisers reports as Gross, Net Advertisers As Net)</t>
  </si>
  <si>
    <t>March</t>
  </si>
  <si>
    <t>April</t>
  </si>
  <si>
    <t>June</t>
  </si>
  <si>
    <t>July</t>
  </si>
  <si>
    <t xml:space="preserve">Nov </t>
  </si>
  <si>
    <t>DAI Net Total</t>
  </si>
  <si>
    <t>DAI Billable Total</t>
  </si>
  <si>
    <t>Embedded Net Total</t>
  </si>
  <si>
    <t>Embedded Billable Total</t>
  </si>
  <si>
    <t>Social Net Total</t>
  </si>
  <si>
    <t>Social Billable Total</t>
  </si>
  <si>
    <t>Pod Roll Net Total</t>
  </si>
  <si>
    <t>Pod Roll Billable Total</t>
  </si>
  <si>
    <t>Podcastone Pro Net Total</t>
  </si>
  <si>
    <t>Podcastone Pro Billable Total</t>
  </si>
  <si>
    <t>PC1 Studio Rental Net Total</t>
  </si>
  <si>
    <t>PC1 Studio Rental Billable Total</t>
  </si>
  <si>
    <t>JAN</t>
  </si>
  <si>
    <t xml:space="preserve">FEB </t>
  </si>
  <si>
    <t xml:space="preserve">MARCH </t>
  </si>
  <si>
    <t xml:space="preserve">APRIL </t>
  </si>
  <si>
    <t>MAY</t>
  </si>
  <si>
    <t xml:space="preserve">JUNE </t>
  </si>
  <si>
    <t>JULY</t>
  </si>
  <si>
    <t>AUGUST</t>
  </si>
  <si>
    <t>SEPTEMBER</t>
  </si>
  <si>
    <t>OCTOBER</t>
  </si>
  <si>
    <t>NOVEMBER</t>
  </si>
  <si>
    <t>DECEMBER</t>
  </si>
  <si>
    <t>Links</t>
  </si>
  <si>
    <t xml:space="preserve">Gross Capacity </t>
  </si>
  <si>
    <t>ART19</t>
  </si>
  <si>
    <t>https://app.mode.com/art19_test/reports/047fccb7e999?secret_key=512e37693bbda22d23343493</t>
  </si>
  <si>
    <t>AudioMax (gross)</t>
  </si>
  <si>
    <t>https://audiomax.adswizz.com/podcastone/revenue/salesChannels?status=ACTIVE&amp;status=ABOUT_TO_EXPIRE&amp;status=ABOUT_TO_START</t>
  </si>
  <si>
    <t>https://app.redcircle.com/shows</t>
  </si>
  <si>
    <t>Red Circle (grossed Up/estimates)</t>
  </si>
  <si>
    <t>https://podcastone.manadge.tritondigital.com/dashboard</t>
  </si>
  <si>
    <t xml:space="preserve">Login </t>
  </si>
  <si>
    <t>michal@Podcastone.com</t>
  </si>
  <si>
    <t>9sryCknH!7RcKg9</t>
  </si>
  <si>
    <t>https://publishers.audiohook.com/podcastone/account-details</t>
  </si>
  <si>
    <t>TOTAL Gross</t>
  </si>
  <si>
    <t>2025 TOTAL</t>
  </si>
  <si>
    <t>1/1 - 1/4</t>
  </si>
  <si>
    <t>1/26 - 1/31</t>
  </si>
  <si>
    <t>Net</t>
  </si>
  <si>
    <t>Gross</t>
  </si>
  <si>
    <t>RAP Programmatic</t>
  </si>
  <si>
    <t>AudioMax</t>
  </si>
  <si>
    <t xml:space="preserve">Red Circle </t>
  </si>
  <si>
    <t>FEB</t>
  </si>
  <si>
    <t>2/23 - 2/28</t>
  </si>
  <si>
    <t>FEb</t>
  </si>
  <si>
    <t>MARCH</t>
  </si>
  <si>
    <t>3/1 - 3/8</t>
  </si>
  <si>
    <t>3/30 -3/31</t>
  </si>
  <si>
    <t>APRIL</t>
  </si>
  <si>
    <t>4/1 - 4/5</t>
  </si>
  <si>
    <t>4/27 - 4/30</t>
  </si>
  <si>
    <t>5/1 - 5/3</t>
  </si>
  <si>
    <t>JUNE</t>
  </si>
  <si>
    <t>6/29 - 6/30</t>
  </si>
  <si>
    <t>7/1 - 7/5</t>
  </si>
  <si>
    <t>7/27 - 7/31</t>
  </si>
  <si>
    <t>8/1 - 8/2</t>
  </si>
  <si>
    <t>8/24 - 8/31</t>
  </si>
  <si>
    <t>August</t>
  </si>
  <si>
    <t>9/1 - 9/6</t>
  </si>
  <si>
    <t>9/28 - 9/30</t>
  </si>
  <si>
    <t>September</t>
  </si>
  <si>
    <t>10/1 - 10/4</t>
  </si>
  <si>
    <t>October</t>
  </si>
  <si>
    <t>11/1 - 11/8</t>
  </si>
  <si>
    <t>November</t>
  </si>
  <si>
    <t>12/1 - 12/6</t>
  </si>
  <si>
    <t>12/28 - 12/31</t>
  </si>
  <si>
    <t>December</t>
  </si>
  <si>
    <t>Start Date</t>
  </si>
  <si>
    <t>End Date</t>
  </si>
  <si>
    <t>Net Revenue</t>
  </si>
  <si>
    <t>Impressions</t>
  </si>
  <si>
    <t>Revenue</t>
  </si>
  <si>
    <t>Cost</t>
  </si>
  <si>
    <t>Net Total</t>
  </si>
  <si>
    <t>LiveXLive Media inc</t>
  </si>
  <si>
    <t>LiveXLive Media, Inc. : PodcastOne</t>
  </si>
  <si>
    <t>Income Statement</t>
  </si>
  <si>
    <t>Dec 2025</t>
  </si>
  <si>
    <t/>
  </si>
  <si>
    <t>Financial Row</t>
  </si>
  <si>
    <t>Amount</t>
  </si>
  <si>
    <t>Ordinary Income/Expense</t>
  </si>
  <si>
    <t>Income</t>
  </si>
  <si>
    <t>400000 - Revenue</t>
  </si>
  <si>
    <t>402000 - Advertising revenue</t>
  </si>
  <si>
    <t>402004 - Advertising - Podcast</t>
  </si>
  <si>
    <t>402006 - Advertising - third party</t>
  </si>
  <si>
    <t>402008 - Advertising - barter</t>
  </si>
  <si>
    <t>402010 - Advertising - DAI</t>
  </si>
  <si>
    <t>402011 - Advertising - Third Party (TAS)</t>
  </si>
  <si>
    <t>Total - 402000 - Advertising revenue</t>
  </si>
  <si>
    <t>409000 - Other revenue</t>
  </si>
  <si>
    <t>409001 - Other revenue</t>
  </si>
  <si>
    <t>Total - 409000 - Other revenue</t>
  </si>
  <si>
    <t>Total - 400000 - Revenue</t>
  </si>
  <si>
    <t>Total - Income</t>
  </si>
  <si>
    <t>Revenue Category</t>
  </si>
  <si>
    <t>Breakdown</t>
  </si>
  <si>
    <t>Pacing Report Category</t>
  </si>
  <si>
    <t>Boostr Billings - Non DAI</t>
  </si>
  <si>
    <t>Boostr Billings - Social</t>
  </si>
  <si>
    <t>Boostr Billings - Non DAI (Podroll_Net Revenue)</t>
  </si>
  <si>
    <t>Boostr Billings - Non DAI (Podroll_Adj to Gross Revenue)</t>
  </si>
  <si>
    <t>BETOnline Excess Revenue</t>
  </si>
  <si>
    <t>AP Bill (Adjustment)</t>
  </si>
  <si>
    <t>Boostr Billings - Non DAI (LoveSac)</t>
  </si>
  <si>
    <t>Boostr Billings - DAI</t>
  </si>
  <si>
    <t>Red Circle December Gross Revenue</t>
  </si>
  <si>
    <t>Triton December Gross Revenue</t>
  </si>
  <si>
    <t>Summary (Breakdown for Actualization)</t>
  </si>
  <si>
    <t>Adswizz December Gross Revenue</t>
  </si>
  <si>
    <t>Katz Media December Gross Revenue</t>
  </si>
  <si>
    <t>Soundstack December Gross Revenue</t>
  </si>
  <si>
    <t>Barter December Revenues</t>
  </si>
  <si>
    <t>ART19 December 2025 Gross Revenue</t>
  </si>
  <si>
    <t>ART19 December Payment for Nov-25 Billings</t>
  </si>
  <si>
    <t>ART19 November 2025 Gross Revenue already booked prior month</t>
  </si>
  <si>
    <t>Net of these two is the excess recognized in Dec-25</t>
  </si>
  <si>
    <t>YT TOTAL</t>
  </si>
  <si>
    <t>FACEBOOK</t>
  </si>
  <si>
    <t>SUBSTACK/STRIPE</t>
  </si>
  <si>
    <t>RUMBLE</t>
  </si>
  <si>
    <t>Adam Carolla December 2025 ACS Digital Invoice:</t>
  </si>
  <si>
    <t>MOS</t>
  </si>
  <si>
    <t>TOTAL MONTHLY SUM</t>
  </si>
  <si>
    <t>n/a</t>
  </si>
  <si>
    <t>CBS Studios - Varnamtown Other Revenue</t>
  </si>
  <si>
    <t>Stripe/Google/Youtube payments (from xx2648)</t>
  </si>
  <si>
    <t>Stripe/Google/Youtube payments (from xx1499)</t>
  </si>
  <si>
    <t>December 2025 Studio Rental (All Pride, No Ego LLC)</t>
  </si>
  <si>
    <t>Prior Months' Studio Rental (iHeart Media)</t>
  </si>
  <si>
    <t>Total Revenue</t>
  </si>
  <si>
    <t>dr</t>
  </si>
  <si>
    <t>cr</t>
  </si>
  <si>
    <t>Agency Fee</t>
  </si>
  <si>
    <t>MG Payment</t>
  </si>
  <si>
    <t>Adjustment (Excess MG Payment)</t>
  </si>
  <si>
    <t>Total Revenue Recognized as of 12/31/2025</t>
  </si>
  <si>
    <t>106m</t>
  </si>
  <si>
    <t>The Schaub Show</t>
  </si>
  <si>
    <t>The Golden Hour</t>
  </si>
  <si>
    <t>The Adam and Dr. Drew Show</t>
  </si>
  <si>
    <t>I Survived</t>
  </si>
  <si>
    <t>Cold Case Files</t>
  </si>
  <si>
    <t>Adam Carolla Show</t>
  </si>
  <si>
    <t xml:space="preserve"> Karma and Chaos (Baby Mama) | DAI</t>
  </si>
  <si>
    <t xml:space="preserve"> The Jordan Harbinger Show | Social</t>
  </si>
  <si>
    <t>American Justice</t>
  </si>
  <si>
    <t>Bad Bad Thing</t>
  </si>
  <si>
    <t>Lost In Panama</t>
  </si>
  <si>
    <t>Ransom</t>
  </si>
  <si>
    <t>Sex Lies Murder</t>
  </si>
  <si>
    <t>The Fighter and the Kid</t>
  </si>
  <si>
    <t>The Opportunist</t>
  </si>
  <si>
    <t>The Prosecutors (Main)</t>
  </si>
  <si>
    <t>Varnamtown</t>
  </si>
  <si>
    <t>Vibin' &amp; Kinda Thrivin'</t>
  </si>
  <si>
    <t>Vigilante</t>
  </si>
  <si>
    <t>Was I In A Cult</t>
  </si>
  <si>
    <t>PC1 Pro</t>
  </si>
  <si>
    <t>Love Sac</t>
  </si>
  <si>
    <t>This will not change (please create)</t>
  </si>
  <si>
    <t>Create and pull data from referenced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</si>
</sst>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m/d"/>
    <numFmt numFmtId="168" formatCode="&quot;$&quot;#,##0.00"/>
    <numFmt numFmtId="169" formatCode="mmm\ d\ yyyy"/>
    <numFmt numFmtId="170" formatCode="mmm\ dd\ yyyy"/>
    <numFmt numFmtId="171" formatCode="mm\-yyyy"/>
    <numFmt numFmtId="172" formatCode="m\-yyyy"/>
    <numFmt numFmtId="173" formatCode="\3\2\2\3\2\3\2"/>
  </numFmts>
  <fonts count="8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4"/>
      <name val="Calibri"/>
      <family val="2"/>
    </font>
    <font>
      <b/>
      <sz val="16"/>
      <color rgb="FFFFFFFF"/>
      <name val="Calibri"/>
      <family val="2"/>
    </font>
    <font>
      <b/>
      <sz val="17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7"/>
      <color rgb="FFFF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u/>
      <sz val="16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333333"/>
      <name val="&quot;Open Sans&quot;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i/>
      <sz val="11"/>
      <color rgb="FFFF0000"/>
      <name val="Calibri"/>
      <family val="2"/>
    </font>
    <font>
      <b/>
      <u/>
      <sz val="16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9.5"/>
      <color rgb="FFFF0000"/>
      <name val="Calibri"/>
      <family val="2"/>
      <scheme val="minor"/>
    </font>
    <font>
      <b/>
      <sz val="11"/>
      <color rgb="FF002060"/>
      <name val="Calibri"/>
      <family val="2"/>
    </font>
    <font>
      <sz val="10.5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7"/>
      <color rgb="FFFF0000"/>
      <name val="Calibri"/>
      <family val="2"/>
    </font>
    <font>
      <b/>
      <sz val="9.5"/>
      <color theme="0"/>
      <name val="Calibri"/>
      <family val="2"/>
      <scheme val="minor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Gilroy-Regular"/>
    </font>
    <font>
      <u/>
      <sz val="10"/>
      <color rgb="FF0000FF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i/>
      <sz val="8"/>
      <color rgb="FFFF0000"/>
      <name val="Arial"/>
      <family val="2"/>
    </font>
    <font>
      <sz val="8"/>
      <name val="Arial"/>
      <family val="2"/>
    </font>
    <font>
      <sz val="10"/>
      <color rgb="FF000000"/>
      <name val="Calibri"/>
      <family val="2"/>
      <scheme val="minor"/>
    </font>
    <font>
      <i/>
      <sz val="8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rgb="FF1D1C1D"/>
      <name val="Arial"/>
      <family val="2"/>
    </font>
    <font>
      <sz val="10"/>
      <color rgb="FF1A1B25"/>
      <name val="Arial"/>
      <family val="2"/>
    </font>
    <font>
      <sz val="11"/>
      <color rgb="FF21252C"/>
      <name val="-apple-system"/>
    </font>
    <font>
      <sz val="11"/>
      <color rgb="FF1A1B25"/>
      <name val="-apple-system"/>
    </font>
    <font>
      <sz val="10"/>
      <color rgb="FF1A1B25"/>
      <name val="Calibri"/>
      <family val="2"/>
      <scheme val="minor"/>
    </font>
    <font>
      <sz val="10"/>
      <color rgb="FF1A1B25"/>
      <name val="-apple-system"/>
    </font>
  </fonts>
  <fills count="28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AFAFA"/>
        <bgColor rgb="FFFAFAFA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0D0D0"/>
        <bgColor indexed="64"/>
      </patternFill>
    </fill>
    <fill>
      <patternFill patternType="solid">
        <fgColor theme="7" tint="0.59999389629810485"/>
        <bgColor rgb="FF33333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8D8D8"/>
      </patternFill>
    </fill>
    <fill>
      <patternFill patternType="solid">
        <fgColor theme="9" tint="0.59999389629810485"/>
        <bgColor rgb="FF33333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8D8D8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43FA9E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43FA9E"/>
      </bottom>
      <diagonal/>
    </border>
    <border>
      <left/>
      <right/>
      <top/>
      <bottom style="thick">
        <color rgb="FF43FA9E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0F0F0"/>
      </bottom>
      <diagonal/>
    </border>
    <border>
      <left/>
      <right/>
      <top style="dotted">
        <color rgb="FFC0C0C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" fillId="0" borderId="3"/>
    <xf numFmtId="44" fontId="2" fillId="0" borderId="3" applyFont="0" applyFill="0" applyBorder="0" applyAlignment="0" applyProtection="0"/>
    <xf numFmtId="0" fontId="67" fillId="0" borderId="3"/>
    <xf numFmtId="0" fontId="76" fillId="0" borderId="3"/>
    <xf numFmtId="43" fontId="76" fillId="0" borderId="3" applyFont="0" applyFill="0" applyBorder="0" applyAlignment="0" applyProtection="0"/>
  </cellStyleXfs>
  <cellXfs count="374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quotePrefix="1" applyFont="1" applyFill="1" applyBorder="1" applyAlignment="1">
      <alignment horizontal="center" vertical="center"/>
    </xf>
    <xf numFmtId="0" fontId="12" fillId="0" borderId="0" xfId="0" applyFont="1"/>
    <xf numFmtId="5" fontId="13" fillId="0" borderId="0" xfId="0" applyNumberFormat="1" applyFont="1"/>
    <xf numFmtId="5" fontId="14" fillId="0" borderId="0" xfId="0" applyNumberFormat="1" applyFont="1"/>
    <xf numFmtId="5" fontId="15" fillId="0" borderId="0" xfId="0" applyNumberFormat="1" applyFont="1"/>
    <xf numFmtId="0" fontId="8" fillId="0" borderId="4" xfId="0" applyFont="1" applyBorder="1"/>
    <xf numFmtId="5" fontId="8" fillId="0" borderId="4" xfId="0" applyNumberFormat="1" applyFont="1" applyBorder="1"/>
    <xf numFmtId="5" fontId="16" fillId="0" borderId="4" xfId="0" applyNumberFormat="1" applyFont="1" applyBorder="1"/>
    <xf numFmtId="5" fontId="17" fillId="0" borderId="4" xfId="0" applyNumberFormat="1" applyFont="1" applyBorder="1"/>
    <xf numFmtId="0" fontId="13" fillId="0" borderId="0" xfId="0" applyFont="1"/>
    <xf numFmtId="0" fontId="18" fillId="0" borderId="0" xfId="0" applyFont="1"/>
    <xf numFmtId="0" fontId="14" fillId="0" borderId="0" xfId="0" applyFont="1"/>
    <xf numFmtId="0" fontId="19" fillId="0" borderId="0" xfId="0" applyFont="1"/>
    <xf numFmtId="0" fontId="8" fillId="0" borderId="0" xfId="0" applyFont="1"/>
    <xf numFmtId="5" fontId="8" fillId="0" borderId="0" xfId="0" applyNumberFormat="1" applyFont="1"/>
    <xf numFmtId="5" fontId="17" fillId="0" borderId="0" xfId="0" applyNumberFormat="1" applyFont="1"/>
    <xf numFmtId="0" fontId="8" fillId="3" borderId="3" xfId="0" quotePrefix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20" fillId="0" borderId="0" xfId="0" applyFont="1"/>
    <xf numFmtId="0" fontId="12" fillId="0" borderId="0" xfId="0" applyFont="1" applyAlignment="1">
      <alignment horizontal="right"/>
    </xf>
    <xf numFmtId="0" fontId="16" fillId="3" borderId="3" xfId="0" quotePrefix="1" applyFont="1" applyFill="1" applyBorder="1" applyAlignment="1">
      <alignment horizontal="center"/>
    </xf>
    <xf numFmtId="0" fontId="23" fillId="0" borderId="0" xfId="0" applyFont="1"/>
    <xf numFmtId="43" fontId="13" fillId="0" borderId="0" xfId="0" applyNumberFormat="1" applyFont="1"/>
    <xf numFmtId="3" fontId="27" fillId="0" borderId="0" xfId="0" applyNumberFormat="1" applyFont="1" applyAlignment="1">
      <alignment vertical="top"/>
    </xf>
    <xf numFmtId="0" fontId="28" fillId="0" borderId="0" xfId="0" applyFont="1"/>
    <xf numFmtId="0" fontId="13" fillId="0" borderId="0" xfId="0" quotePrefix="1" applyFont="1"/>
    <xf numFmtId="0" fontId="8" fillId="3" borderId="3" xfId="0" quotePrefix="1" applyFont="1" applyFill="1" applyBorder="1" applyAlignment="1">
      <alignment horizontal="center" wrapText="1"/>
    </xf>
    <xf numFmtId="3" fontId="14" fillId="0" borderId="0" xfId="0" applyNumberFormat="1" applyFont="1"/>
    <xf numFmtId="3" fontId="14" fillId="0" borderId="0" xfId="0" applyNumberFormat="1" applyFont="1" applyAlignment="1">
      <alignment horizontal="right"/>
    </xf>
    <xf numFmtId="5" fontId="16" fillId="0" borderId="0" xfId="0" applyNumberFormat="1" applyFont="1"/>
    <xf numFmtId="0" fontId="8" fillId="0" borderId="10" xfId="0" applyFont="1" applyBorder="1"/>
    <xf numFmtId="5" fontId="16" fillId="0" borderId="10" xfId="0" applyNumberFormat="1" applyFont="1" applyBorder="1"/>
    <xf numFmtId="5" fontId="17" fillId="0" borderId="10" xfId="0" applyNumberFormat="1" applyFont="1" applyBorder="1"/>
    <xf numFmtId="17" fontId="13" fillId="0" borderId="0" xfId="0" quotePrefix="1" applyNumberFormat="1" applyFont="1"/>
    <xf numFmtId="9" fontId="13" fillId="0" borderId="0" xfId="0" applyNumberFormat="1" applyFont="1"/>
    <xf numFmtId="5" fontId="8" fillId="0" borderId="10" xfId="0" applyNumberFormat="1" applyFont="1" applyBorder="1"/>
    <xf numFmtId="14" fontId="16" fillId="0" borderId="0" xfId="0" applyNumberFormat="1" applyFont="1"/>
    <xf numFmtId="0" fontId="29" fillId="0" borderId="0" xfId="0" applyFont="1"/>
    <xf numFmtId="0" fontId="14" fillId="0" borderId="0" xfId="0" applyFont="1" applyAlignment="1">
      <alignment horizontal="right"/>
    </xf>
    <xf numFmtId="3" fontId="18" fillId="0" borderId="0" xfId="0" applyNumberFormat="1" applyFont="1"/>
    <xf numFmtId="0" fontId="18" fillId="6" borderId="0" xfId="0" applyFont="1" applyFill="1"/>
    <xf numFmtId="0" fontId="30" fillId="6" borderId="0" xfId="0" applyFont="1" applyFill="1"/>
    <xf numFmtId="0" fontId="29" fillId="0" borderId="0" xfId="0" quotePrefix="1" applyFont="1" applyAlignment="1">
      <alignment horizontal="center"/>
    </xf>
    <xf numFmtId="0" fontId="29" fillId="0" borderId="0" xfId="0" applyFont="1" applyAlignment="1">
      <alignment horizontal="center"/>
    </xf>
    <xf numFmtId="0" fontId="16" fillId="0" borderId="0" xfId="0" applyFont="1"/>
    <xf numFmtId="5" fontId="29" fillId="4" borderId="0" xfId="0" applyNumberFormat="1" applyFont="1" applyFill="1"/>
    <xf numFmtId="0" fontId="14" fillId="0" borderId="0" xfId="0" applyFont="1" applyAlignment="1">
      <alignment horizontal="left"/>
    </xf>
    <xf numFmtId="5" fontId="16" fillId="4" borderId="4" xfId="0" applyNumberFormat="1" applyFont="1" applyFill="1" applyBorder="1"/>
    <xf numFmtId="0" fontId="31" fillId="0" borderId="0" xfId="0" applyFont="1"/>
    <xf numFmtId="5" fontId="18" fillId="0" borderId="0" xfId="0" applyNumberFormat="1" applyFont="1"/>
    <xf numFmtId="0" fontId="18" fillId="0" borderId="0" xfId="0" applyFont="1" applyAlignment="1">
      <alignment horizontal="left"/>
    </xf>
    <xf numFmtId="4" fontId="32" fillId="5" borderId="0" xfId="0" applyNumberFormat="1" applyFont="1" applyFill="1"/>
    <xf numFmtId="4" fontId="32" fillId="7" borderId="0" xfId="0" applyNumberFormat="1" applyFont="1" applyFill="1"/>
    <xf numFmtId="0" fontId="7" fillId="0" borderId="2" xfId="0" applyFont="1" applyBorder="1"/>
    <xf numFmtId="0" fontId="38" fillId="3" borderId="3" xfId="0" applyFont="1" applyFill="1" applyBorder="1" applyAlignment="1">
      <alignment horizontal="center" vertical="center"/>
    </xf>
    <xf numFmtId="5" fontId="38" fillId="0" borderId="0" xfId="0" applyNumberFormat="1" applyFont="1"/>
    <xf numFmtId="5" fontId="38" fillId="0" borderId="4" xfId="0" applyNumberFormat="1" applyFont="1" applyBorder="1"/>
    <xf numFmtId="0" fontId="38" fillId="0" borderId="0" xfId="0" applyFont="1"/>
    <xf numFmtId="0" fontId="5" fillId="0" borderId="0" xfId="0" applyFont="1"/>
    <xf numFmtId="0" fontId="42" fillId="0" borderId="3" xfId="0" applyFont="1" applyBorder="1"/>
    <xf numFmtId="0" fontId="12" fillId="9" borderId="0" xfId="0" applyFont="1" applyFill="1" applyAlignment="1">
      <alignment horizontal="right"/>
    </xf>
    <xf numFmtId="0" fontId="13" fillId="9" borderId="0" xfId="0" applyFont="1" applyFill="1"/>
    <xf numFmtId="0" fontId="0" fillId="9" borderId="0" xfId="0" applyFill="1"/>
    <xf numFmtId="0" fontId="43" fillId="9" borderId="0" xfId="0" applyFont="1" applyFill="1"/>
    <xf numFmtId="0" fontId="4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0" fontId="45" fillId="10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quotePrefix="1" applyFon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 wrapText="1"/>
    </xf>
    <xf numFmtId="5" fontId="15" fillId="0" borderId="0" xfId="0" applyNumberFormat="1" applyFont="1" applyAlignment="1">
      <alignment horizontal="right" vertical="center"/>
    </xf>
    <xf numFmtId="5" fontId="13" fillId="0" borderId="0" xfId="0" applyNumberFormat="1" applyFont="1" applyAlignment="1">
      <alignment vertical="center"/>
    </xf>
    <xf numFmtId="0" fontId="8" fillId="0" borderId="4" xfId="0" applyFont="1" applyBorder="1" applyAlignment="1">
      <alignment vertical="center"/>
    </xf>
    <xf numFmtId="5" fontId="17" fillId="0" borderId="4" xfId="0" applyNumberFormat="1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5" fontId="13" fillId="0" borderId="6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5" fontId="17" fillId="0" borderId="7" xfId="0" applyNumberFormat="1" applyFont="1" applyBorder="1" applyAlignment="1">
      <alignment horizontal="right" vertical="center"/>
    </xf>
    <xf numFmtId="0" fontId="28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5" fontId="39" fillId="0" borderId="0" xfId="0" applyNumberFormat="1" applyFont="1" applyAlignment="1">
      <alignment horizontal="right" vertical="center"/>
    </xf>
    <xf numFmtId="5" fontId="40" fillId="0" borderId="4" xfId="0" applyNumberFormat="1" applyFont="1" applyBorder="1" applyAlignment="1">
      <alignment horizontal="right" vertical="center"/>
    </xf>
    <xf numFmtId="5" fontId="39" fillId="0" borderId="0" xfId="0" applyNumberFormat="1" applyFont="1" applyAlignment="1">
      <alignment vertical="center"/>
    </xf>
    <xf numFmtId="5" fontId="39" fillId="0" borderId="6" xfId="0" applyNumberFormat="1" applyFont="1" applyBorder="1" applyAlignment="1">
      <alignment vertical="center"/>
    </xf>
    <xf numFmtId="5" fontId="40" fillId="0" borderId="7" xfId="0" applyNumberFormat="1" applyFont="1" applyBorder="1" applyAlignment="1">
      <alignment horizontal="right" vertical="center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8" fillId="0" borderId="12" xfId="0" applyFont="1" applyBorder="1" applyAlignment="1">
      <alignment vertical="center"/>
    </xf>
    <xf numFmtId="5" fontId="17" fillId="0" borderId="12" xfId="0" applyNumberFormat="1" applyFont="1" applyBorder="1" applyAlignment="1">
      <alignment horizontal="right" vertical="center"/>
    </xf>
    <xf numFmtId="164" fontId="0" fillId="11" borderId="0" xfId="1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/>
    <xf numFmtId="0" fontId="34" fillId="0" borderId="0" xfId="0" applyFont="1"/>
    <xf numFmtId="0" fontId="48" fillId="8" borderId="0" xfId="0" applyFont="1" applyFill="1"/>
    <xf numFmtId="0" fontId="35" fillId="0" borderId="0" xfId="0" applyFont="1" applyAlignment="1">
      <alignment horizontal="left"/>
    </xf>
    <xf numFmtId="0" fontId="49" fillId="0" borderId="0" xfId="0" applyFont="1"/>
    <xf numFmtId="0" fontId="50" fillId="0" borderId="0" xfId="0" applyFont="1"/>
    <xf numFmtId="0" fontId="52" fillId="0" borderId="0" xfId="0" applyFont="1"/>
    <xf numFmtId="5" fontId="53" fillId="0" borderId="0" xfId="0" applyNumberFormat="1" applyFont="1"/>
    <xf numFmtId="0" fontId="19" fillId="11" borderId="0" xfId="0" applyFont="1" applyFill="1"/>
    <xf numFmtId="0" fontId="49" fillId="11" borderId="0" xfId="0" applyFont="1" applyFill="1"/>
    <xf numFmtId="5" fontId="54" fillId="0" borderId="0" xfId="0" applyNumberFormat="1" applyFont="1"/>
    <xf numFmtId="5" fontId="51" fillId="0" borderId="0" xfId="0" applyNumberFormat="1" applyFont="1"/>
    <xf numFmtId="164" fontId="0" fillId="0" borderId="0" xfId="0" applyNumberFormat="1" applyAlignment="1">
      <alignment vertical="center"/>
    </xf>
    <xf numFmtId="5" fontId="55" fillId="0" borderId="0" xfId="0" applyNumberFormat="1" applyFont="1"/>
    <xf numFmtId="5" fontId="55" fillId="0" borderId="4" xfId="0" applyNumberFormat="1" applyFont="1" applyBorder="1"/>
    <xf numFmtId="0" fontId="35" fillId="0" borderId="0" xfId="0" applyFont="1"/>
    <xf numFmtId="0" fontId="34" fillId="0" borderId="11" xfId="0" applyFont="1" applyBorder="1" applyAlignment="1">
      <alignment horizontal="center"/>
    </xf>
    <xf numFmtId="164" fontId="0" fillId="13" borderId="0" xfId="1" applyNumberFormat="1" applyFont="1" applyFill="1" applyAlignment="1">
      <alignment vertical="center"/>
    </xf>
    <xf numFmtId="164" fontId="41" fillId="13" borderId="0" xfId="1" applyNumberFormat="1" applyFont="1" applyFill="1" applyAlignment="1">
      <alignment vertical="center"/>
    </xf>
    <xf numFmtId="164" fontId="0" fillId="12" borderId="0" xfId="1" applyNumberFormat="1" applyFont="1" applyFill="1" applyAlignment="1">
      <alignment vertical="center"/>
    </xf>
    <xf numFmtId="0" fontId="16" fillId="3" borderId="0" xfId="0" quotePrefix="1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5" fontId="0" fillId="0" borderId="0" xfId="0" applyNumberFormat="1"/>
    <xf numFmtId="165" fontId="0" fillId="0" borderId="0" xfId="2" applyNumberFormat="1" applyFont="1"/>
    <xf numFmtId="165" fontId="0" fillId="0" borderId="13" xfId="2" applyNumberFormat="1" applyFont="1" applyBorder="1"/>
    <xf numFmtId="165" fontId="34" fillId="0" borderId="0" xfId="2" applyNumberFormat="1" applyFont="1"/>
    <xf numFmtId="165" fontId="34" fillId="0" borderId="13" xfId="2" applyNumberFormat="1" applyFont="1" applyBorder="1"/>
    <xf numFmtId="0" fontId="56" fillId="0" borderId="0" xfId="0" applyFont="1"/>
    <xf numFmtId="0" fontId="34" fillId="11" borderId="0" xfId="0" applyFont="1" applyFill="1"/>
    <xf numFmtId="165" fontId="0" fillId="11" borderId="0" xfId="2" applyNumberFormat="1" applyFont="1" applyFill="1"/>
    <xf numFmtId="165" fontId="34" fillId="11" borderId="0" xfId="2" applyNumberFormat="1" applyFont="1" applyFill="1"/>
    <xf numFmtId="0" fontId="34" fillId="14" borderId="0" xfId="0" applyFont="1" applyFill="1"/>
    <xf numFmtId="165" fontId="0" fillId="14" borderId="0" xfId="2" applyNumberFormat="1" applyFont="1" applyFill="1"/>
    <xf numFmtId="165" fontId="34" fillId="14" borderId="0" xfId="2" applyNumberFormat="1" applyFont="1" applyFill="1"/>
    <xf numFmtId="49" fontId="57" fillId="0" borderId="0" xfId="0" applyNumberFormat="1" applyFont="1"/>
    <xf numFmtId="4" fontId="13" fillId="0" borderId="0" xfId="0" applyNumberFormat="1" applyFont="1"/>
    <xf numFmtId="43" fontId="13" fillId="11" borderId="0" xfId="1" applyFont="1" applyFill="1"/>
    <xf numFmtId="164" fontId="0" fillId="14" borderId="0" xfId="1" applyNumberFormat="1" applyFont="1" applyFill="1" applyAlignment="1">
      <alignment vertical="center"/>
    </xf>
    <xf numFmtId="165" fontId="8" fillId="0" borderId="4" xfId="2" applyNumberFormat="1" applyFont="1" applyBorder="1"/>
    <xf numFmtId="5" fontId="7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/>
    </xf>
    <xf numFmtId="0" fontId="59" fillId="10" borderId="0" xfId="0" applyFont="1" applyFill="1" applyAlignment="1">
      <alignment horizontal="center" vertical="center" wrapText="1"/>
    </xf>
    <xf numFmtId="164" fontId="0" fillId="0" borderId="0" xfId="1" applyNumberFormat="1" applyFont="1" applyFill="1" applyAlignment="1">
      <alignment vertical="center"/>
    </xf>
    <xf numFmtId="164" fontId="41" fillId="0" borderId="0" xfId="1" applyNumberFormat="1" applyFont="1" applyFill="1" applyAlignment="1">
      <alignment vertical="center"/>
    </xf>
    <xf numFmtId="8" fontId="13" fillId="0" borderId="0" xfId="0" applyNumberFormat="1" applyFont="1" applyAlignment="1">
      <alignment vertical="center"/>
    </xf>
    <xf numFmtId="8" fontId="0" fillId="0" borderId="0" xfId="0" applyNumberFormat="1" applyAlignment="1">
      <alignment vertical="center"/>
    </xf>
    <xf numFmtId="0" fontId="4" fillId="0" borderId="0" xfId="0" applyFont="1"/>
    <xf numFmtId="5" fontId="60" fillId="0" borderId="0" xfId="0" applyNumberFormat="1" applyFont="1" applyAlignment="1">
      <alignment horizontal="right" vertical="center"/>
    </xf>
    <xf numFmtId="5" fontId="61" fillId="0" borderId="4" xfId="0" applyNumberFormat="1" applyFont="1" applyBorder="1" applyAlignment="1">
      <alignment horizontal="right" vertical="center"/>
    </xf>
    <xf numFmtId="5" fontId="60" fillId="0" borderId="0" xfId="0" applyNumberFormat="1" applyFont="1" applyAlignment="1">
      <alignment vertical="center"/>
    </xf>
    <xf numFmtId="5" fontId="60" fillId="0" borderId="6" xfId="0" applyNumberFormat="1" applyFont="1" applyBorder="1" applyAlignment="1">
      <alignment vertical="center"/>
    </xf>
    <xf numFmtId="5" fontId="61" fillId="0" borderId="7" xfId="0" applyNumberFormat="1" applyFont="1" applyBorder="1" applyAlignment="1">
      <alignment horizontal="right" vertical="center"/>
    </xf>
    <xf numFmtId="43" fontId="13" fillId="0" borderId="0" xfId="1" applyFont="1" applyFill="1"/>
    <xf numFmtId="7" fontId="12" fillId="0" borderId="0" xfId="0" applyNumberFormat="1" applyFont="1" applyAlignment="1">
      <alignment vertical="center"/>
    </xf>
    <xf numFmtId="164" fontId="40" fillId="0" borderId="4" xfId="0" applyNumberFormat="1" applyFont="1" applyBorder="1" applyAlignment="1">
      <alignment horizontal="right" vertical="center"/>
    </xf>
    <xf numFmtId="164" fontId="17" fillId="0" borderId="12" xfId="0" applyNumberFormat="1" applyFont="1" applyBorder="1" applyAlignment="1">
      <alignment horizontal="right" vertical="center"/>
    </xf>
    <xf numFmtId="164" fontId="3" fillId="0" borderId="0" xfId="1" applyNumberFormat="1" applyFont="1" applyFill="1" applyAlignment="1">
      <alignment vertical="center"/>
    </xf>
    <xf numFmtId="5" fontId="19" fillId="0" borderId="0" xfId="0" applyNumberFormat="1" applyFont="1"/>
    <xf numFmtId="43" fontId="0" fillId="0" borderId="0" xfId="0" applyNumberFormat="1"/>
    <xf numFmtId="43" fontId="0" fillId="0" borderId="0" xfId="1" applyFont="1"/>
    <xf numFmtId="168" fontId="64" fillId="7" borderId="48" xfId="0" applyNumberFormat="1" applyFont="1" applyFill="1" applyBorder="1" applyAlignment="1">
      <alignment horizontal="left" wrapText="1"/>
    </xf>
    <xf numFmtId="169" fontId="64" fillId="7" borderId="48" xfId="0" applyNumberFormat="1" applyFont="1" applyFill="1" applyBorder="1" applyAlignment="1">
      <alignment horizontal="left" wrapText="1"/>
    </xf>
    <xf numFmtId="168" fontId="64" fillId="7" borderId="48" xfId="0" applyNumberFormat="1" applyFont="1" applyFill="1" applyBorder="1" applyAlignment="1">
      <alignment horizontal="right" wrapText="1"/>
    </xf>
    <xf numFmtId="0" fontId="64" fillId="7" borderId="48" xfId="0" applyFont="1" applyFill="1" applyBorder="1" applyAlignment="1">
      <alignment horizontal="left" wrapText="1"/>
    </xf>
    <xf numFmtId="170" fontId="64" fillId="7" borderId="48" xfId="0" applyNumberFormat="1" applyFont="1" applyFill="1" applyBorder="1" applyAlignment="1">
      <alignment horizontal="left" wrapText="1"/>
    </xf>
    <xf numFmtId="168" fontId="62" fillId="0" borderId="0" xfId="0" applyNumberFormat="1" applyFont="1"/>
    <xf numFmtId="43" fontId="13" fillId="0" borderId="0" xfId="1" applyFont="1" applyAlignment="1">
      <alignment vertical="center"/>
    </xf>
    <xf numFmtId="14" fontId="34" fillId="0" borderId="14" xfId="0" applyNumberFormat="1" applyFont="1" applyBorder="1"/>
    <xf numFmtId="14" fontId="34" fillId="0" borderId="0" xfId="0" applyNumberFormat="1" applyFont="1"/>
    <xf numFmtId="0" fontId="34" fillId="0" borderId="15" xfId="0" applyFont="1" applyBorder="1"/>
    <xf numFmtId="0" fontId="34" fillId="0" borderId="16" xfId="0" applyFont="1" applyBorder="1"/>
    <xf numFmtId="0" fontId="34" fillId="0" borderId="17" xfId="0" applyFont="1" applyBorder="1" applyAlignment="1">
      <alignment horizontal="left" vertical="center"/>
    </xf>
    <xf numFmtId="44" fontId="0" fillId="0" borderId="0" xfId="2" applyFont="1"/>
    <xf numFmtId="44" fontId="0" fillId="0" borderId="15" xfId="0" applyNumberFormat="1" applyBorder="1"/>
    <xf numFmtId="44" fontId="0" fillId="0" borderId="0" xfId="2" applyFont="1" applyFill="1"/>
    <xf numFmtId="0" fontId="34" fillId="0" borderId="18" xfId="0" applyFont="1" applyBorder="1" applyAlignment="1">
      <alignment horizontal="left"/>
    </xf>
    <xf numFmtId="44" fontId="0" fillId="0" borderId="19" xfId="0" applyNumberFormat="1" applyBorder="1" applyAlignment="1">
      <alignment horizontal="left" vertical="center"/>
    </xf>
    <xf numFmtId="44" fontId="0" fillId="0" borderId="20" xfId="0" applyNumberFormat="1" applyBorder="1"/>
    <xf numFmtId="0" fontId="34" fillId="8" borderId="16" xfId="0" applyFont="1" applyFill="1" applyBorder="1"/>
    <xf numFmtId="0" fontId="34" fillId="8" borderId="21" xfId="0" applyFont="1" applyFill="1" applyBorder="1" applyAlignment="1">
      <alignment horizontal="left"/>
    </xf>
    <xf numFmtId="44" fontId="0" fillId="8" borderId="20" xfId="2" applyFont="1" applyFill="1" applyBorder="1"/>
    <xf numFmtId="44" fontId="0" fillId="8" borderId="19" xfId="2" applyFont="1" applyFill="1" applyBorder="1"/>
    <xf numFmtId="44" fontId="0" fillId="8" borderId="22" xfId="2" applyFont="1" applyFill="1" applyBorder="1"/>
    <xf numFmtId="44" fontId="0" fillId="8" borderId="20" xfId="0" applyNumberFormat="1" applyFill="1" applyBorder="1"/>
    <xf numFmtId="44" fontId="0" fillId="8" borderId="19" xfId="0" applyNumberFormat="1" applyFill="1" applyBorder="1"/>
    <xf numFmtId="44" fontId="0" fillId="8" borderId="22" xfId="0" applyNumberFormat="1" applyFill="1" applyBorder="1"/>
    <xf numFmtId="0" fontId="34" fillId="0" borderId="23" xfId="0" applyFont="1" applyBorder="1"/>
    <xf numFmtId="0" fontId="34" fillId="0" borderId="24" xfId="0" applyFont="1" applyBorder="1"/>
    <xf numFmtId="0" fontId="34" fillId="0" borderId="25" xfId="0" applyFont="1" applyBorder="1"/>
    <xf numFmtId="0" fontId="34" fillId="0" borderId="23" xfId="0" applyFont="1" applyBorder="1" applyAlignment="1">
      <alignment horizontal="left"/>
    </xf>
    <xf numFmtId="44" fontId="0" fillId="0" borderId="24" xfId="2" applyFont="1" applyBorder="1"/>
    <xf numFmtId="8" fontId="0" fillId="0" borderId="24" xfId="0" applyNumberFormat="1" applyBorder="1"/>
    <xf numFmtId="8" fontId="0" fillId="0" borderId="26" xfId="0" applyNumberFormat="1" applyBorder="1"/>
    <xf numFmtId="44" fontId="0" fillId="0" borderId="27" xfId="2" applyFont="1" applyBorder="1"/>
    <xf numFmtId="44" fontId="0" fillId="0" borderId="28" xfId="2" applyFont="1" applyBorder="1"/>
    <xf numFmtId="44" fontId="0" fillId="0" borderId="29" xfId="2" applyFont="1" applyBorder="1"/>
    <xf numFmtId="0" fontId="34" fillId="0" borderId="27" xfId="0" applyFont="1" applyBorder="1" applyAlignment="1">
      <alignment horizontal="left"/>
    </xf>
    <xf numFmtId="8" fontId="0" fillId="0" borderId="28" xfId="0" applyNumberFormat="1" applyBorder="1"/>
    <xf numFmtId="8" fontId="0" fillId="0" borderId="30" xfId="0" applyNumberFormat="1" applyBorder="1"/>
    <xf numFmtId="44" fontId="0" fillId="0" borderId="30" xfId="2" applyFont="1" applyBorder="1"/>
    <xf numFmtId="0" fontId="34" fillId="0" borderId="31" xfId="0" applyFont="1" applyBorder="1" applyAlignment="1">
      <alignment horizontal="left"/>
    </xf>
    <xf numFmtId="44" fontId="0" fillId="0" borderId="32" xfId="2" applyFont="1" applyBorder="1"/>
    <xf numFmtId="44" fontId="0" fillId="0" borderId="33" xfId="2" applyFont="1" applyBorder="1"/>
    <xf numFmtId="44" fontId="0" fillId="0" borderId="31" xfId="2" applyFont="1" applyBorder="1"/>
    <xf numFmtId="44" fontId="0" fillId="0" borderId="34" xfId="2" applyFont="1" applyBorder="1"/>
    <xf numFmtId="44" fontId="0" fillId="0" borderId="0" xfId="0" applyNumberFormat="1"/>
    <xf numFmtId="0" fontId="65" fillId="0" borderId="0" xfId="0" applyFont="1"/>
    <xf numFmtId="164" fontId="15" fillId="0" borderId="0" xfId="0" applyNumberFormat="1" applyFont="1" applyAlignment="1">
      <alignment horizontal="right" vertical="center"/>
    </xf>
    <xf numFmtId="14" fontId="0" fillId="0" borderId="0" xfId="0" applyNumberFormat="1"/>
    <xf numFmtId="5" fontId="16" fillId="0" borderId="0" xfId="0" applyNumberFormat="1" applyFont="1" applyAlignment="1">
      <alignment horizontal="right"/>
    </xf>
    <xf numFmtId="0" fontId="67" fillId="0" borderId="3" xfId="5"/>
    <xf numFmtId="0" fontId="70" fillId="21" borderId="3" xfId="5" applyFont="1" applyFill="1" applyAlignment="1">
      <alignment horizontal="left"/>
    </xf>
    <xf numFmtId="0" fontId="70" fillId="21" borderId="3" xfId="5" applyFont="1" applyFill="1" applyAlignment="1">
      <alignment horizontal="right"/>
    </xf>
    <xf numFmtId="0" fontId="71" fillId="0" borderId="3" xfId="5" applyFont="1" applyAlignment="1">
      <alignment horizontal="left" vertical="center"/>
    </xf>
    <xf numFmtId="7" fontId="71" fillId="0" borderId="3" xfId="5" applyNumberFormat="1" applyFont="1" applyAlignment="1">
      <alignment horizontal="right" vertical="center"/>
    </xf>
    <xf numFmtId="0" fontId="71" fillId="0" borderId="3" xfId="5" applyFont="1" applyAlignment="1">
      <alignment horizontal="left" indent="1"/>
    </xf>
    <xf numFmtId="0" fontId="71" fillId="0" borderId="3" xfId="5" applyFont="1" applyAlignment="1">
      <alignment horizontal="left" indent="2"/>
    </xf>
    <xf numFmtId="0" fontId="71" fillId="0" borderId="3" xfId="5" applyFont="1" applyAlignment="1">
      <alignment horizontal="left" indent="3"/>
    </xf>
    <xf numFmtId="0" fontId="72" fillId="0" borderId="3" xfId="5" applyFont="1" applyAlignment="1">
      <alignment horizontal="left" indent="4"/>
    </xf>
    <xf numFmtId="7" fontId="72" fillId="0" borderId="3" xfId="5" applyNumberFormat="1" applyFont="1" applyAlignment="1">
      <alignment horizontal="right" vertical="center"/>
    </xf>
    <xf numFmtId="0" fontId="71" fillId="0" borderId="49" xfId="5" applyFont="1" applyBorder="1" applyAlignment="1">
      <alignment horizontal="left" indent="3"/>
    </xf>
    <xf numFmtId="7" fontId="71" fillId="0" borderId="49" xfId="5" applyNumberFormat="1" applyFont="1" applyBorder="1" applyAlignment="1">
      <alignment horizontal="right" vertical="center"/>
    </xf>
    <xf numFmtId="0" fontId="71" fillId="0" borderId="49" xfId="5" applyFont="1" applyBorder="1" applyAlignment="1">
      <alignment horizontal="left" indent="2"/>
    </xf>
    <xf numFmtId="0" fontId="71" fillId="0" borderId="49" xfId="5" applyFont="1" applyBorder="1" applyAlignment="1">
      <alignment horizontal="left" indent="1"/>
    </xf>
    <xf numFmtId="0" fontId="73" fillId="0" borderId="3" xfId="5" applyFont="1"/>
    <xf numFmtId="0" fontId="74" fillId="0" borderId="3" xfId="5" applyFont="1"/>
    <xf numFmtId="0" fontId="75" fillId="0" borderId="3" xfId="5" applyFont="1"/>
    <xf numFmtId="43" fontId="67" fillId="0" borderId="3" xfId="1" applyFont="1" applyBorder="1"/>
    <xf numFmtId="43" fontId="73" fillId="0" borderId="3" xfId="1" applyFont="1" applyBorder="1"/>
    <xf numFmtId="0" fontId="77" fillId="0" borderId="3" xfId="5" applyFont="1"/>
    <xf numFmtId="0" fontId="78" fillId="0" borderId="0" xfId="0" applyFont="1" applyAlignment="1">
      <alignment horizontal="center"/>
    </xf>
    <xf numFmtId="171" fontId="62" fillId="0" borderId="0" xfId="0" applyNumberFormat="1" applyFont="1"/>
    <xf numFmtId="168" fontId="63" fillId="0" borderId="0" xfId="0" applyNumberFormat="1" applyFont="1" applyAlignment="1">
      <alignment horizontal="right"/>
    </xf>
    <xf numFmtId="168" fontId="79" fillId="5" borderId="0" xfId="0" applyNumberFormat="1" applyFont="1" applyFill="1" applyAlignment="1">
      <alignment horizontal="right"/>
    </xf>
    <xf numFmtId="168" fontId="80" fillId="0" borderId="0" xfId="0" applyNumberFormat="1" applyFont="1" applyAlignment="1">
      <alignment horizontal="right"/>
    </xf>
    <xf numFmtId="168" fontId="63" fillId="0" borderId="0" xfId="0" applyNumberFormat="1" applyFont="1"/>
    <xf numFmtId="168" fontId="80" fillId="5" borderId="0" xfId="0" applyNumberFormat="1" applyFont="1" applyFill="1" applyAlignment="1">
      <alignment horizontal="right"/>
    </xf>
    <xf numFmtId="168" fontId="81" fillId="5" borderId="0" xfId="0" applyNumberFormat="1" applyFont="1" applyFill="1"/>
    <xf numFmtId="168" fontId="82" fillId="5" borderId="0" xfId="0" applyNumberFormat="1" applyFont="1" applyFill="1"/>
    <xf numFmtId="168" fontId="82" fillId="5" borderId="0" xfId="0" applyNumberFormat="1" applyFont="1" applyFill="1" applyAlignment="1">
      <alignment horizontal="right"/>
    </xf>
    <xf numFmtId="168" fontId="83" fillId="5" borderId="0" xfId="0" applyNumberFormat="1" applyFont="1" applyFill="1"/>
    <xf numFmtId="168" fontId="84" fillId="5" borderId="0" xfId="0" applyNumberFormat="1" applyFont="1" applyFill="1" applyAlignment="1">
      <alignment horizontal="right"/>
    </xf>
    <xf numFmtId="172" fontId="62" fillId="0" borderId="0" xfId="0" applyNumberFormat="1" applyFont="1"/>
    <xf numFmtId="0" fontId="75" fillId="0" borderId="3" xfId="5" applyFont="1" applyAlignment="1">
      <alignment horizontal="left"/>
    </xf>
    <xf numFmtId="0" fontId="73" fillId="0" borderId="50" xfId="5" applyFont="1" applyBorder="1"/>
    <xf numFmtId="43" fontId="73" fillId="0" borderId="50" xfId="1" applyFont="1" applyBorder="1"/>
    <xf numFmtId="0" fontId="78" fillId="0" borderId="0" xfId="0" applyFont="1" applyAlignment="1">
      <alignment horizontal="right"/>
    </xf>
    <xf numFmtId="168" fontId="6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34" fillId="0" borderId="11" xfId="0" applyFont="1" applyBorder="1"/>
    <xf numFmtId="44" fontId="34" fillId="0" borderId="11" xfId="2" applyFont="1" applyBorder="1"/>
    <xf numFmtId="0" fontId="1" fillId="12" borderId="0" xfId="0" applyFont="1" applyFill="1"/>
    <xf numFmtId="0" fontId="0" fillId="12" borderId="0" xfId="0" applyFill="1"/>
    <xf numFmtId="44" fontId="0" fillId="12" borderId="0" xfId="0" applyNumberFormat="1" applyFill="1"/>
    <xf numFmtId="44" fontId="0" fillId="12" borderId="0" xfId="2" applyFont="1" applyFill="1"/>
    <xf numFmtId="43" fontId="34" fillId="12" borderId="0" xfId="1" applyFont="1" applyFill="1"/>
    <xf numFmtId="0" fontId="63" fillId="0" borderId="0" xfId="0" applyFont="1"/>
    <xf numFmtId="0" fontId="62" fillId="0" borderId="0" xfId="0" applyFont="1"/>
    <xf numFmtId="0" fontId="62" fillId="0" borderId="35" xfId="0" applyFont="1" applyBorder="1"/>
    <xf numFmtId="0" fontId="62" fillId="0" borderId="36" xfId="0" applyFont="1" applyBorder="1"/>
    <xf numFmtId="173" fontId="62" fillId="15" borderId="36" xfId="0" applyNumberFormat="1" applyFont="1" applyFill="1" applyBorder="1"/>
    <xf numFmtId="0" fontId="62" fillId="15" borderId="36" xfId="0" applyFont="1" applyFill="1" applyBorder="1"/>
    <xf numFmtId="0" fontId="62" fillId="0" borderId="37" xfId="0" applyFont="1" applyBorder="1"/>
    <xf numFmtId="166" fontId="62" fillId="0" borderId="37" xfId="0" applyNumberFormat="1" applyFont="1" applyBorder="1"/>
    <xf numFmtId="166" fontId="62" fillId="0" borderId="36" xfId="0" applyNumberFormat="1" applyFont="1" applyBorder="1"/>
    <xf numFmtId="166" fontId="62" fillId="0" borderId="38" xfId="0" applyNumberFormat="1" applyFont="1" applyBorder="1"/>
    <xf numFmtId="0" fontId="62" fillId="0" borderId="39" xfId="0" applyFont="1" applyBorder="1"/>
    <xf numFmtId="166" fontId="62" fillId="0" borderId="39" xfId="0" applyNumberFormat="1" applyFont="1" applyBorder="1"/>
    <xf numFmtId="166" fontId="62" fillId="0" borderId="40" xfId="0" applyNumberFormat="1" applyFont="1" applyBorder="1"/>
    <xf numFmtId="166" fontId="62" fillId="0" borderId="41" xfId="0" applyNumberFormat="1" applyFont="1" applyBorder="1"/>
    <xf numFmtId="0" fontId="62" fillId="5" borderId="40" xfId="0" applyFont="1" applyFill="1" applyBorder="1"/>
    <xf numFmtId="0" fontId="62" fillId="0" borderId="41" xfId="0" applyFont="1" applyBorder="1"/>
    <xf numFmtId="0" fontId="62" fillId="0" borderId="42" xfId="0" applyFont="1" applyBorder="1"/>
    <xf numFmtId="0" fontId="62" fillId="0" borderId="43" xfId="0" applyFont="1" applyBorder="1"/>
    <xf numFmtId="0" fontId="62" fillId="0" borderId="44" xfId="0" applyFont="1" applyBorder="1"/>
    <xf numFmtId="166" fontId="62" fillId="0" borderId="0" xfId="0" applyNumberFormat="1" applyFont="1"/>
    <xf numFmtId="10" fontId="62" fillId="0" borderId="0" xfId="0" applyNumberFormat="1" applyFont="1"/>
    <xf numFmtId="166" fontId="12" fillId="0" borderId="0" xfId="0" applyNumberFormat="1" applyFont="1" applyAlignment="1">
      <alignment horizontal="right"/>
    </xf>
    <xf numFmtId="166" fontId="62" fillId="15" borderId="45" xfId="0" applyNumberFormat="1" applyFont="1" applyFill="1" applyBorder="1"/>
    <xf numFmtId="166" fontId="62" fillId="15" borderId="46" xfId="0" applyNumberFormat="1" applyFont="1" applyFill="1" applyBorder="1"/>
    <xf numFmtId="166" fontId="62" fillId="16" borderId="46" xfId="0" applyNumberFormat="1" applyFont="1" applyFill="1" applyBorder="1"/>
    <xf numFmtId="166" fontId="62" fillId="17" borderId="46" xfId="0" applyNumberFormat="1" applyFont="1" applyFill="1" applyBorder="1"/>
    <xf numFmtId="166" fontId="62" fillId="15" borderId="47" xfId="0" applyNumberFormat="1" applyFont="1" applyFill="1" applyBorder="1"/>
    <xf numFmtId="0" fontId="62" fillId="15" borderId="35" xfId="0" applyFont="1" applyFill="1" applyBorder="1"/>
    <xf numFmtId="166" fontId="62" fillId="15" borderId="0" xfId="0" applyNumberFormat="1" applyFont="1" applyFill="1"/>
    <xf numFmtId="0" fontId="62" fillId="18" borderId="35" xfId="0" applyFont="1" applyFill="1" applyBorder="1"/>
    <xf numFmtId="0" fontId="62" fillId="0" borderId="4" xfId="0" applyFont="1" applyBorder="1"/>
    <xf numFmtId="0" fontId="62" fillId="0" borderId="45" xfId="0" applyFont="1" applyBorder="1"/>
    <xf numFmtId="0" fontId="62" fillId="0" borderId="47" xfId="0" applyFont="1" applyBorder="1"/>
    <xf numFmtId="0" fontId="63" fillId="19" borderId="45" xfId="0" applyFont="1" applyFill="1" applyBorder="1"/>
    <xf numFmtId="0" fontId="63" fillId="19" borderId="47" xfId="0" applyFont="1" applyFill="1" applyBorder="1"/>
    <xf numFmtId="0" fontId="63" fillId="0" borderId="45" xfId="0" applyFont="1" applyBorder="1"/>
    <xf numFmtId="0" fontId="63" fillId="0" borderId="47" xfId="0" applyFont="1" applyBorder="1"/>
    <xf numFmtId="0" fontId="62" fillId="0" borderId="40" xfId="0" applyFont="1" applyBorder="1"/>
    <xf numFmtId="168" fontId="62" fillId="0" borderId="37" xfId="0" applyNumberFormat="1" applyFont="1" applyBorder="1"/>
    <xf numFmtId="168" fontId="62" fillId="0" borderId="38" xfId="0" applyNumberFormat="1" applyFont="1" applyBorder="1"/>
    <xf numFmtId="3" fontId="62" fillId="0" borderId="0" xfId="0" applyNumberFormat="1" applyFont="1"/>
    <xf numFmtId="168" fontId="62" fillId="19" borderId="39" xfId="0" applyNumberFormat="1" applyFont="1" applyFill="1" applyBorder="1"/>
    <xf numFmtId="0" fontId="63" fillId="0" borderId="39" xfId="0" applyFont="1" applyBorder="1"/>
    <xf numFmtId="10" fontId="62" fillId="0" borderId="40" xfId="0" applyNumberFormat="1" applyFont="1" applyBorder="1"/>
    <xf numFmtId="168" fontId="62" fillId="0" borderId="39" xfId="0" applyNumberFormat="1" applyFont="1" applyBorder="1"/>
    <xf numFmtId="168" fontId="62" fillId="0" borderId="41" xfId="0" applyNumberFormat="1" applyFont="1" applyBorder="1"/>
    <xf numFmtId="4" fontId="62" fillId="0" borderId="39" xfId="0" applyNumberFormat="1" applyFont="1" applyBorder="1"/>
    <xf numFmtId="4" fontId="62" fillId="5" borderId="41" xfId="0" applyNumberFormat="1" applyFont="1" applyFill="1" applyBorder="1"/>
    <xf numFmtId="4" fontId="63" fillId="19" borderId="39" xfId="0" applyNumberFormat="1" applyFont="1" applyFill="1" applyBorder="1"/>
    <xf numFmtId="4" fontId="62" fillId="19" borderId="41" xfId="0" applyNumberFormat="1" applyFont="1" applyFill="1" applyBorder="1"/>
    <xf numFmtId="4" fontId="63" fillId="0" borderId="39" xfId="0" applyNumberFormat="1" applyFont="1" applyBorder="1"/>
    <xf numFmtId="4" fontId="63" fillId="0" borderId="41" xfId="0" applyNumberFormat="1" applyFont="1" applyBorder="1"/>
    <xf numFmtId="168" fontId="62" fillId="20" borderId="41" xfId="0" applyNumberFormat="1" applyFont="1" applyFill="1" applyBorder="1"/>
    <xf numFmtId="4" fontId="62" fillId="0" borderId="42" xfId="0" applyNumberFormat="1" applyFont="1" applyBorder="1"/>
    <xf numFmtId="168" fontId="62" fillId="0" borderId="44" xfId="0" applyNumberFormat="1" applyFont="1" applyBorder="1"/>
    <xf numFmtId="168" fontId="62" fillId="0" borderId="6" xfId="0" applyNumberFormat="1" applyFont="1" applyBorder="1"/>
    <xf numFmtId="168" fontId="62" fillId="0" borderId="42" xfId="0" applyNumberFormat="1" applyFont="1" applyBorder="1"/>
    <xf numFmtId="168" fontId="27" fillId="7" borderId="6" xfId="0" applyNumberFormat="1" applyFont="1" applyFill="1" applyBorder="1" applyAlignment="1">
      <alignment horizontal="right" wrapText="1"/>
    </xf>
    <xf numFmtId="4" fontId="63" fillId="0" borderId="42" xfId="0" applyNumberFormat="1" applyFont="1" applyBorder="1"/>
    <xf numFmtId="166" fontId="62" fillId="0" borderId="43" xfId="0" applyNumberFormat="1" applyFont="1" applyBorder="1"/>
    <xf numFmtId="0" fontId="63" fillId="0" borderId="41" xfId="0" applyFont="1" applyBorder="1"/>
    <xf numFmtId="4" fontId="62" fillId="0" borderId="0" xfId="0" applyNumberFormat="1" applyFont="1"/>
    <xf numFmtId="0" fontId="36" fillId="2" borderId="1" xfId="0" applyFont="1" applyFill="1" applyBorder="1" applyAlignment="1">
      <alignment horizontal="center"/>
    </xf>
    <xf numFmtId="0" fontId="7" fillId="0" borderId="2" xfId="0" applyFont="1" applyBorder="1"/>
    <xf numFmtId="0" fontId="10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21" fillId="2" borderId="8" xfId="0" applyFont="1" applyFill="1" applyBorder="1" applyAlignment="1">
      <alignment horizontal="center"/>
    </xf>
    <xf numFmtId="0" fontId="7" fillId="0" borderId="9" xfId="0" applyFont="1" applyBorder="1"/>
    <xf numFmtId="167" fontId="62" fillId="0" borderId="45" xfId="0" applyNumberFormat="1" applyFont="1" applyBorder="1" applyAlignment="1">
      <alignment horizontal="center"/>
    </xf>
    <xf numFmtId="0" fontId="66" fillId="0" borderId="47" xfId="0" applyFont="1" applyBorder="1"/>
    <xf numFmtId="167" fontId="63" fillId="19" borderId="45" xfId="0" applyNumberFormat="1" applyFont="1" applyFill="1" applyBorder="1" applyAlignment="1">
      <alignment horizontal="center"/>
    </xf>
    <xf numFmtId="0" fontId="63" fillId="0" borderId="45" xfId="0" applyFont="1" applyBorder="1" applyAlignment="1">
      <alignment horizontal="center"/>
    </xf>
    <xf numFmtId="0" fontId="62" fillId="0" borderId="45" xfId="0" applyFont="1" applyBorder="1" applyAlignment="1">
      <alignment horizontal="center"/>
    </xf>
    <xf numFmtId="167" fontId="63" fillId="0" borderId="45" xfId="0" applyNumberFormat="1" applyFont="1" applyBorder="1" applyAlignment="1">
      <alignment horizontal="center"/>
    </xf>
    <xf numFmtId="0" fontId="69" fillId="0" borderId="3" xfId="5" applyFont="1" applyAlignment="1">
      <alignment horizontal="center"/>
    </xf>
    <xf numFmtId="0" fontId="68" fillId="0" borderId="3" xfId="5" applyFont="1" applyAlignment="1">
      <alignment horizontal="center"/>
    </xf>
    <xf numFmtId="0" fontId="34" fillId="0" borderId="0" xfId="0" applyFont="1" applyAlignment="1">
      <alignment horizontal="center"/>
    </xf>
    <xf numFmtId="44" fontId="34" fillId="0" borderId="0" xfId="2" applyFont="1" applyAlignment="1">
      <alignment horizontal="center"/>
    </xf>
    <xf numFmtId="0" fontId="37" fillId="22" borderId="1" xfId="0" applyFont="1" applyFill="1" applyBorder="1" applyAlignment="1">
      <alignment horizontal="center"/>
    </xf>
    <xf numFmtId="0" fontId="7" fillId="23" borderId="2" xfId="0" applyFont="1" applyFill="1" applyBorder="1"/>
    <xf numFmtId="0" fontId="8" fillId="24" borderId="3" xfId="0" quotePrefix="1" applyFont="1" applyFill="1" applyBorder="1" applyAlignment="1">
      <alignment horizontal="center" vertical="center"/>
    </xf>
    <xf numFmtId="0" fontId="38" fillId="24" borderId="3" xfId="0" applyFont="1" applyFill="1" applyBorder="1" applyAlignment="1">
      <alignment horizontal="center" vertical="center" wrapText="1"/>
    </xf>
    <xf numFmtId="5" fontId="13" fillId="23" borderId="0" xfId="0" applyNumberFormat="1" applyFont="1" applyFill="1"/>
    <xf numFmtId="5" fontId="8" fillId="23" borderId="0" xfId="0" applyNumberFormat="1" applyFont="1" applyFill="1"/>
    <xf numFmtId="5" fontId="8" fillId="23" borderId="4" xfId="0" applyNumberFormat="1" applyFont="1" applyFill="1" applyBorder="1"/>
    <xf numFmtId="0" fontId="0" fillId="23" borderId="0" xfId="0" applyFill="1"/>
    <xf numFmtId="0" fontId="13" fillId="23" borderId="0" xfId="0" applyFont="1" applyFill="1"/>
    <xf numFmtId="0" fontId="8" fillId="23" borderId="0" xfId="0" applyFont="1" applyFill="1"/>
    <xf numFmtId="0" fontId="10" fillId="25" borderId="1" xfId="0" applyFont="1" applyFill="1" applyBorder="1" applyAlignment="1">
      <alignment horizontal="center"/>
    </xf>
    <xf numFmtId="0" fontId="10" fillId="25" borderId="1" xfId="0" applyFont="1" applyFill="1" applyBorder="1" applyAlignment="1">
      <alignment horizontal="center"/>
    </xf>
    <xf numFmtId="0" fontId="7" fillId="26" borderId="2" xfId="0" applyFont="1" applyFill="1" applyBorder="1"/>
    <xf numFmtId="0" fontId="8" fillId="27" borderId="3" xfId="0" applyFont="1" applyFill="1" applyBorder="1" applyAlignment="1">
      <alignment horizontal="left" vertical="center"/>
    </xf>
    <xf numFmtId="0" fontId="8" fillId="27" borderId="3" xfId="0" quotePrefix="1" applyFont="1" applyFill="1" applyBorder="1" applyAlignment="1">
      <alignment horizontal="center" vertical="center"/>
    </xf>
    <xf numFmtId="0" fontId="8" fillId="27" borderId="3" xfId="0" applyFont="1" applyFill="1" applyBorder="1" applyAlignment="1">
      <alignment horizontal="center" vertical="center" wrapText="1"/>
    </xf>
    <xf numFmtId="0" fontId="35" fillId="26" borderId="0" xfId="0" applyFont="1" applyFill="1"/>
    <xf numFmtId="5" fontId="15" fillId="26" borderId="0" xfId="0" applyNumberFormat="1" applyFont="1" applyFill="1"/>
    <xf numFmtId="5" fontId="8" fillId="26" borderId="0" xfId="0" applyNumberFormat="1" applyFont="1" applyFill="1"/>
    <xf numFmtId="0" fontId="8" fillId="26" borderId="4" xfId="0" applyFont="1" applyFill="1" applyBorder="1"/>
    <xf numFmtId="5" fontId="8" fillId="26" borderId="4" xfId="0" applyNumberFormat="1" applyFont="1" applyFill="1" applyBorder="1"/>
    <xf numFmtId="0" fontId="0" fillId="26" borderId="0" xfId="0" applyFill="1"/>
    <xf numFmtId="0" fontId="13" fillId="26" borderId="0" xfId="0" applyFont="1" applyFill="1"/>
    <xf numFmtId="0" fontId="8" fillId="26" borderId="0" xfId="0" applyFont="1" applyFill="1"/>
    <xf numFmtId="0" fontId="12" fillId="26" borderId="0" xfId="0" applyFont="1" applyFill="1"/>
    <xf numFmtId="0" fontId="8" fillId="26" borderId="3" xfId="0" applyFont="1" applyFill="1" applyBorder="1"/>
    <xf numFmtId="5" fontId="8" fillId="26" borderId="3" xfId="0" applyNumberFormat="1" applyFont="1" applyFill="1" applyBorder="1"/>
  </cellXfs>
  <cellStyles count="8">
    <cellStyle name="Comma" xfId="1" builtinId="3"/>
    <cellStyle name="Comma 2" xfId="7" xr:uid="{C27C1733-A812-442E-A66B-B9CB8D236B1E}"/>
    <cellStyle name="Currency" xfId="2" builtinId="4"/>
    <cellStyle name="Currency 2" xfId="4" xr:uid="{79695817-FC0B-4C05-858D-B11708C69BCE}"/>
    <cellStyle name="Normal" xfId="0" builtinId="0"/>
    <cellStyle name="Normal 2" xfId="3" xr:uid="{12F36DEE-D995-4C23-99B1-091FC7E514CA}"/>
    <cellStyle name="Normal 3" xfId="5" xr:uid="{80CD3CD5-EFA0-4B7D-A6BB-2028D2D3637A}"/>
    <cellStyle name="Normal 4" xfId="6" xr:uid="{2F29D3CA-897A-4D7C-AB26-0404D0790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55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56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38100</xdr:rowOff>
    </xdr:from>
    <xdr:to>
      <xdr:col>14</xdr:col>
      <xdr:colOff>591302</xdr:colOff>
      <xdr:row>2</xdr:row>
      <xdr:rowOff>114364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F1AA7-4540-52CA-1FDE-29349306E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5391902" cy="45726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</xdr:row>
      <xdr:rowOff>9525</xdr:rowOff>
    </xdr:from>
    <xdr:to>
      <xdr:col>18</xdr:col>
      <xdr:colOff>572593</xdr:colOff>
      <xdr:row>7</xdr:row>
      <xdr:rowOff>123947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013338-EACC-43A9-892A-A433D9BA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0" y="581025"/>
          <a:ext cx="7830643" cy="876422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0</xdr:row>
      <xdr:rowOff>9525</xdr:rowOff>
    </xdr:from>
    <xdr:to>
      <xdr:col>14</xdr:col>
      <xdr:colOff>48298</xdr:colOff>
      <xdr:row>2</xdr:row>
      <xdr:rowOff>114368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00F332-4AA6-4FA4-88F9-90618798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6325" y="9525"/>
          <a:ext cx="4820323" cy="485843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</xdr:row>
      <xdr:rowOff>180975</xdr:rowOff>
    </xdr:from>
    <xdr:to>
      <xdr:col>19</xdr:col>
      <xdr:colOff>10611</xdr:colOff>
      <xdr:row>8</xdr:row>
      <xdr:rowOff>9661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FFB1F1-0E5E-4AFE-A30F-2E6D191F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3950" y="561975"/>
          <a:ext cx="7783011" cy="971686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</xdr:row>
      <xdr:rowOff>19050</xdr:rowOff>
    </xdr:from>
    <xdr:to>
      <xdr:col>13</xdr:col>
      <xdr:colOff>502297</xdr:colOff>
      <xdr:row>14</xdr:row>
      <xdr:rowOff>19126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AE8E37-7204-A516-D293-6746C7D66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5400" y="2009775"/>
          <a:ext cx="4636147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14</xdr:row>
      <xdr:rowOff>161925</xdr:rowOff>
    </xdr:from>
    <xdr:to>
      <xdr:col>19</xdr:col>
      <xdr:colOff>96353</xdr:colOff>
      <xdr:row>20</xdr:row>
      <xdr:rowOff>114445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737D7A-1C8A-D3B9-83FD-EB1A39C1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6350" y="2695575"/>
          <a:ext cx="7906853" cy="10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redcircle.com/shows" TargetMode="External"/><Relationship Id="rId2" Type="http://schemas.openxmlformats.org/officeDocument/2006/relationships/hyperlink" Target="https://audiomax.adswizz.com/podcastone/revenue/salesChannels?status=ACTIVE&amp;status=ABOUT_TO_EXPIRE&amp;status=ABOUT_TO_START" TargetMode="External"/><Relationship Id="rId1" Type="http://schemas.openxmlformats.org/officeDocument/2006/relationships/hyperlink" Target="https://app.mode.com/art19_test/reports/047fccb7e999?secret_key=512e37693bbda22d23343493" TargetMode="External"/><Relationship Id="rId5" Type="http://schemas.openxmlformats.org/officeDocument/2006/relationships/hyperlink" Target="https://publishers.audiohook.com/podcastone/account-details" TargetMode="External"/><Relationship Id="rId4" Type="http://schemas.openxmlformats.org/officeDocument/2006/relationships/hyperlink" Target="https://podcastone.manadge.tritondigital.com/dashboar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U926"/>
  <sheetViews>
    <sheetView showGridLines="0" tabSelected="1" zoomScale="85" zoomScaleNormal="85" workbookViewId="0">
      <selection activeCell="U9" sqref="U9"/>
    </sheetView>
  </sheetViews>
  <sheetFormatPr defaultColWidth="14.42578125" defaultRowHeight="15" customHeight="1"/>
  <cols>
    <col min="1" max="1" width="3.42578125" bestFit="1" customWidth="1"/>
    <col min="2" max="2" width="37.85546875" bestFit="1" customWidth="1"/>
    <col min="3" max="3" width="11.5703125" bestFit="1" customWidth="1"/>
    <col min="4" max="6" width="11.140625" bestFit="1" customWidth="1"/>
    <col min="7" max="7" width="15.7109375" bestFit="1" customWidth="1"/>
    <col min="8" max="8" width="1.5703125" customWidth="1"/>
    <col min="9" max="11" width="11.140625" bestFit="1" customWidth="1"/>
    <col min="12" max="12" width="11.5703125" bestFit="1" customWidth="1"/>
    <col min="13" max="13" width="15.85546875" bestFit="1" customWidth="1"/>
    <col min="14" max="14" width="1.5703125" customWidth="1"/>
    <col min="15" max="18" width="10.5703125" bestFit="1" customWidth="1"/>
    <col min="19" max="19" width="15.7109375" bestFit="1" customWidth="1"/>
    <col min="20" max="20" width="8.7109375" customWidth="1"/>
    <col min="21" max="21" width="8.28515625" customWidth="1"/>
  </cols>
  <sheetData>
    <row r="1" spans="1:21" ht="14.25" customHeight="1"/>
    <row r="2" spans="1:21" ht="23.25">
      <c r="B2" s="327" t="s">
        <v>80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59"/>
    </row>
    <row r="3" spans="1:21" ht="14.25" customHeight="1">
      <c r="B3" s="65" t="s">
        <v>91</v>
      </c>
      <c r="C3" s="1"/>
      <c r="D3" s="1"/>
      <c r="E3" s="1"/>
      <c r="F3" s="1"/>
      <c r="I3" s="1"/>
      <c r="J3" s="1"/>
      <c r="K3" s="1"/>
      <c r="L3" s="1"/>
      <c r="M3" s="2"/>
      <c r="O3" s="2"/>
      <c r="P3" s="2"/>
      <c r="Q3" s="2"/>
      <c r="R3" s="2"/>
      <c r="S3" s="2"/>
    </row>
    <row r="4" spans="1:21" ht="21">
      <c r="B4" s="357"/>
      <c r="C4" s="358" t="s">
        <v>116</v>
      </c>
      <c r="D4" s="359"/>
      <c r="E4" s="359"/>
      <c r="F4" s="359"/>
      <c r="G4" s="359"/>
      <c r="I4" s="347" t="s">
        <v>4</v>
      </c>
      <c r="J4" s="348"/>
      <c r="K4" s="348"/>
      <c r="L4" s="348"/>
      <c r="M4" s="348"/>
      <c r="O4" s="354" t="s">
        <v>368</v>
      </c>
    </row>
    <row r="5" spans="1:21" ht="14.25" customHeight="1">
      <c r="A5" s="4"/>
      <c r="B5" s="360" t="s">
        <v>5</v>
      </c>
      <c r="C5" s="361" t="s">
        <v>6</v>
      </c>
      <c r="D5" s="361" t="s">
        <v>7</v>
      </c>
      <c r="E5" s="361" t="s">
        <v>8</v>
      </c>
      <c r="F5" s="361" t="s">
        <v>9</v>
      </c>
      <c r="G5" s="362" t="s">
        <v>117</v>
      </c>
      <c r="H5" s="4"/>
      <c r="I5" s="349" t="s">
        <v>6</v>
      </c>
      <c r="J5" s="349" t="s">
        <v>7</v>
      </c>
      <c r="K5" s="349" t="s">
        <v>8</v>
      </c>
      <c r="L5" s="349" t="s">
        <v>9</v>
      </c>
      <c r="M5" s="350" t="s">
        <v>81</v>
      </c>
      <c r="U5" s="4"/>
    </row>
    <row r="6" spans="1:21" ht="14.25" customHeight="1">
      <c r="A6" s="4"/>
      <c r="B6" s="363" t="s">
        <v>82</v>
      </c>
      <c r="C6" s="364">
        <f>'Pacing - Act. vs Budget'!C7</f>
        <v>4751.7107000000005</v>
      </c>
      <c r="D6" s="364">
        <f>'Pacing - Act. vs Budget'!D7</f>
        <v>4349.94931</v>
      </c>
      <c r="E6" s="364">
        <f>'Pacing - Act. vs Budget'!E7</f>
        <v>5414.67425</v>
      </c>
      <c r="F6" s="364">
        <f>'Pacing - Act. vs Budget'!F7</f>
        <v>4357.1671999999999</v>
      </c>
      <c r="G6" s="365">
        <f t="shared" ref="G6:G15" si="0">SUM(C6:F6)</f>
        <v>18873.501459999999</v>
      </c>
      <c r="H6" s="4"/>
      <c r="I6" s="351">
        <f>'Pacing - Monthly Inputs (actual'!P59</f>
        <v>4183.7688099999996</v>
      </c>
      <c r="J6" s="351">
        <f>'Pacing - Monthly Inputs (actual'!Q59</f>
        <v>4043.8302999999996</v>
      </c>
      <c r="K6" s="351">
        <f>'Pacing - Monthly Inputs (actual'!R59</f>
        <v>4372.28845</v>
      </c>
      <c r="L6" s="351">
        <f>'Pacing - Monthly Inputs (actual'!S59</f>
        <v>4205.4572000000007</v>
      </c>
      <c r="M6" s="352">
        <f t="shared" ref="M6:M15" si="1">SUM(I6:L6)</f>
        <v>16805.34476</v>
      </c>
      <c r="U6" s="4"/>
    </row>
    <row r="7" spans="1:21" ht="14.25" customHeight="1">
      <c r="A7" s="4"/>
      <c r="B7" s="363" t="s">
        <v>83</v>
      </c>
      <c r="C7" s="364">
        <f>'Pacing - Act. vs Budget'!C8</f>
        <v>436.82173</v>
      </c>
      <c r="D7" s="364">
        <f>'Pacing - Act. vs Budget'!D8</f>
        <v>439.09064999999998</v>
      </c>
      <c r="E7" s="364">
        <f>'Pacing - Act. vs Budget'!E8</f>
        <v>591.71398999999997</v>
      </c>
      <c r="F7" s="364">
        <f>'Pacing - Act. vs Budget'!F8</f>
        <v>540.83218999999997</v>
      </c>
      <c r="G7" s="365">
        <f t="shared" si="0"/>
        <v>2008.45856</v>
      </c>
      <c r="H7" s="4"/>
      <c r="I7" s="351">
        <f>'Pacing - Monthly Inputs (actual'!P60</f>
        <v>633.39124000000004</v>
      </c>
      <c r="J7" s="351">
        <f>'Pacing - Monthly Inputs (actual'!Q60</f>
        <v>663.6705199999999</v>
      </c>
      <c r="K7" s="351">
        <f>'Pacing - Monthly Inputs (actual'!R60</f>
        <v>804.12394000000006</v>
      </c>
      <c r="L7" s="351">
        <f>'Pacing - Monthly Inputs (actual'!S60</f>
        <v>646.25655000000006</v>
      </c>
      <c r="M7" s="352">
        <f t="shared" si="1"/>
        <v>2747.4422500000001</v>
      </c>
      <c r="U7" s="4"/>
    </row>
    <row r="8" spans="1:21" ht="14.25" customHeight="1">
      <c r="A8" s="4"/>
      <c r="B8" s="363" t="s">
        <v>84</v>
      </c>
      <c r="C8" s="364">
        <f>'Pacing - Act. vs Budget'!C9</f>
        <v>189.65</v>
      </c>
      <c r="D8" s="364">
        <f>'Pacing - Act. vs Budget'!D9</f>
        <v>97</v>
      </c>
      <c r="E8" s="364">
        <f>'Pacing - Act. vs Budget'!E9</f>
        <v>41</v>
      </c>
      <c r="F8" s="364">
        <f>'Pacing - Act. vs Budget'!F9</f>
        <v>159.625</v>
      </c>
      <c r="G8" s="365">
        <f t="shared" si="0"/>
        <v>487.27499999999998</v>
      </c>
      <c r="H8" s="4"/>
      <c r="I8" s="351">
        <f>'Pacing - Monthly Inputs (actual'!P61</f>
        <v>0</v>
      </c>
      <c r="J8" s="351">
        <f>'Pacing - Monthly Inputs (actual'!Q61</f>
        <v>0</v>
      </c>
      <c r="K8" s="351">
        <f>'Pacing - Monthly Inputs (actual'!R61</f>
        <v>0</v>
      </c>
      <c r="L8" s="351">
        <f>'Pacing - Monthly Inputs (actual'!S61</f>
        <v>127.15</v>
      </c>
      <c r="M8" s="352">
        <f t="shared" si="1"/>
        <v>127.15</v>
      </c>
      <c r="O8" s="368" t="s">
        <v>369</v>
      </c>
      <c r="U8" s="4"/>
    </row>
    <row r="9" spans="1:21" ht="14.25" customHeight="1">
      <c r="A9" s="4"/>
      <c r="B9" s="363" t="s">
        <v>79</v>
      </c>
      <c r="C9" s="364">
        <f>'Pacing - Act. vs Budget'!C10</f>
        <v>327.33862999999997</v>
      </c>
      <c r="D9" s="364">
        <f>'Pacing - Act. vs Budget'!D10</f>
        <v>512.40969000000007</v>
      </c>
      <c r="E9" s="364">
        <f>'Pacing - Act. vs Budget'!E10</f>
        <v>442.24754999999999</v>
      </c>
      <c r="F9" s="364">
        <f>'Pacing - Act. vs Budget'!F10</f>
        <v>119.19537999999997</v>
      </c>
      <c r="G9" s="365">
        <f t="shared" si="0"/>
        <v>1401.1912499999999</v>
      </c>
      <c r="H9" s="4"/>
      <c r="I9" s="351">
        <f>'Pacing - Monthly Inputs (actual'!P62</f>
        <v>2144.7471500000001</v>
      </c>
      <c r="J9" s="351">
        <f>'Pacing - Monthly Inputs (actual'!Q62</f>
        <v>1501.62808</v>
      </c>
      <c r="K9" s="351">
        <f>'Pacing - Monthly Inputs (actual'!R62</f>
        <v>1513.6375800000001</v>
      </c>
      <c r="L9" s="351">
        <f>'Pacing - Monthly Inputs (actual'!S62</f>
        <v>818.18236000000002</v>
      </c>
      <c r="M9" s="352">
        <f t="shared" si="1"/>
        <v>5978.19517</v>
      </c>
      <c r="N9" s="4"/>
      <c r="U9" s="4"/>
    </row>
    <row r="10" spans="1:21" ht="14.25" customHeight="1">
      <c r="B10" s="363" t="s">
        <v>85</v>
      </c>
      <c r="C10" s="364">
        <f>'Pacing - Act. vs Budget'!C11</f>
        <v>1844.7241700000002</v>
      </c>
      <c r="D10" s="364">
        <f>'Pacing - Act. vs Budget'!D11</f>
        <v>2205.4375399999999</v>
      </c>
      <c r="E10" s="364">
        <f>'Pacing - Act. vs Budget'!E11</f>
        <v>1841.1344199999999</v>
      </c>
      <c r="F10" s="364">
        <f>'Pacing - Act. vs Budget'!F11</f>
        <v>139.83252666666669</v>
      </c>
      <c r="G10" s="365">
        <f t="shared" si="0"/>
        <v>6031.1286566666677</v>
      </c>
      <c r="I10" s="351">
        <f>'Pacing - Monthly Inputs (actual'!P63</f>
        <v>0</v>
      </c>
      <c r="J10" s="351">
        <f>'Pacing - Monthly Inputs (actual'!Q63</f>
        <v>0</v>
      </c>
      <c r="K10" s="351">
        <f>'Pacing - Monthly Inputs (actual'!R63</f>
        <v>0</v>
      </c>
      <c r="L10" s="351">
        <f>'Pacing - Monthly Inputs (actual'!S63</f>
        <v>728.04287999999997</v>
      </c>
      <c r="M10" s="352">
        <f t="shared" si="1"/>
        <v>728.04287999999997</v>
      </c>
    </row>
    <row r="11" spans="1:21" ht="14.25" customHeight="1">
      <c r="B11" s="363" t="s">
        <v>29</v>
      </c>
      <c r="C11" s="364">
        <f>'Pacing - Act. vs Budget'!C12</f>
        <v>326.84302999999989</v>
      </c>
      <c r="D11" s="364">
        <f>'Pacing - Act. vs Budget'!D12</f>
        <v>340.19839000000002</v>
      </c>
      <c r="E11" s="364">
        <f>'Pacing - Act. vs Budget'!E12</f>
        <v>358.03185999999999</v>
      </c>
      <c r="F11" s="364">
        <f>'Pacing - Act. vs Budget'!F12</f>
        <v>97.086799999999997</v>
      </c>
      <c r="G11" s="365">
        <f t="shared" si="0"/>
        <v>1122.1600799999999</v>
      </c>
      <c r="I11" s="351">
        <f>'Pacing - Monthly Inputs (actual'!P64</f>
        <v>0</v>
      </c>
      <c r="J11" s="351">
        <f>'Pacing - Monthly Inputs (actual'!Q64</f>
        <v>0</v>
      </c>
      <c r="K11" s="351">
        <f>'Pacing - Monthly Inputs (actual'!R64</f>
        <v>0</v>
      </c>
      <c r="L11" s="351">
        <f>'Pacing - Monthly Inputs (actual'!S64</f>
        <v>177.58563000000001</v>
      </c>
      <c r="M11" s="352">
        <f t="shared" si="1"/>
        <v>177.58563000000001</v>
      </c>
    </row>
    <row r="12" spans="1:21" ht="14.25" customHeight="1">
      <c r="B12" s="363" t="s">
        <v>86</v>
      </c>
      <c r="C12" s="364">
        <f>'Pacing - Act. vs Budget'!C13</f>
        <v>12.5</v>
      </c>
      <c r="D12" s="364">
        <f>'Pacing - Act. vs Budget'!D13</f>
        <v>57.75</v>
      </c>
      <c r="E12" s="364">
        <f>'Pacing - Act. vs Budget'!E13</f>
        <v>16.5</v>
      </c>
      <c r="F12" s="364">
        <f>'Pacing - Act. vs Budget'!F13</f>
        <v>13.75</v>
      </c>
      <c r="G12" s="365">
        <f t="shared" si="0"/>
        <v>100.5</v>
      </c>
      <c r="I12" s="351">
        <f>'Pacing - Monthly Inputs (actual'!P65</f>
        <v>0</v>
      </c>
      <c r="J12" s="351">
        <f>'Pacing - Monthly Inputs (actual'!Q65</f>
        <v>0</v>
      </c>
      <c r="K12" s="351">
        <f>'Pacing - Monthly Inputs (actual'!R65</f>
        <v>0</v>
      </c>
      <c r="L12" s="351">
        <f>'Pacing - Monthly Inputs (actual'!S65</f>
        <v>65.75</v>
      </c>
      <c r="M12" s="352">
        <f t="shared" si="1"/>
        <v>65.75</v>
      </c>
    </row>
    <row r="13" spans="1:21" ht="14.25" customHeight="1">
      <c r="B13" s="363" t="s">
        <v>87</v>
      </c>
      <c r="C13" s="364">
        <f>'Pacing - Act. vs Budget'!C14</f>
        <v>2.5741199999999997</v>
      </c>
      <c r="D13" s="364">
        <f>'Pacing - Act. vs Budget'!D14</f>
        <v>2.137E-2</v>
      </c>
      <c r="E13" s="364">
        <f>'Pacing - Act. vs Budget'!E14</f>
        <v>0</v>
      </c>
      <c r="F13" s="364">
        <f>'Pacing - Act. vs Budget'!F14</f>
        <v>0</v>
      </c>
      <c r="G13" s="365">
        <f t="shared" si="0"/>
        <v>2.5954899999999999</v>
      </c>
      <c r="I13" s="351">
        <f>'Pacing - Monthly Inputs (actual'!P66</f>
        <v>5.6479999999999997</v>
      </c>
      <c r="J13" s="351">
        <f>'Pacing - Monthly Inputs (actual'!Q66</f>
        <v>5.3196600000000007</v>
      </c>
      <c r="K13" s="351">
        <f>'Pacing - Monthly Inputs (actual'!R66</f>
        <v>5.4531799999999997</v>
      </c>
      <c r="L13" s="351">
        <f>'Pacing - Monthly Inputs (actual'!S66</f>
        <v>4.2455999999999996</v>
      </c>
      <c r="M13" s="352">
        <f t="shared" si="1"/>
        <v>20.666439999999998</v>
      </c>
    </row>
    <row r="14" spans="1:21" ht="14.25" customHeight="1">
      <c r="B14" s="363" t="s">
        <v>88</v>
      </c>
      <c r="C14" s="364">
        <f>'Pacing - Act. vs Budget'!C15</f>
        <v>0</v>
      </c>
      <c r="D14" s="364">
        <f>'Pacing - Act. vs Budget'!D15</f>
        <v>0</v>
      </c>
      <c r="E14" s="364">
        <f>'Pacing - Act. vs Budget'!E15</f>
        <v>0</v>
      </c>
      <c r="F14" s="364">
        <f>'Pacing - Act. vs Budget'!F15</f>
        <v>0</v>
      </c>
      <c r="G14" s="365">
        <f t="shared" si="0"/>
        <v>0</v>
      </c>
      <c r="I14" s="351">
        <f>'Pacing - Monthly Inputs (actual'!P67</f>
        <v>0</v>
      </c>
      <c r="J14" s="351">
        <f>'Pacing - Monthly Inputs (actual'!Q67</f>
        <v>0</v>
      </c>
      <c r="K14" s="351">
        <f>'Pacing - Monthly Inputs (actual'!R67</f>
        <v>0</v>
      </c>
      <c r="L14" s="351">
        <f>'Pacing - Monthly Inputs (actual'!S67</f>
        <v>0</v>
      </c>
      <c r="M14" s="352">
        <f t="shared" si="1"/>
        <v>0</v>
      </c>
    </row>
    <row r="15" spans="1:21" ht="14.25" customHeight="1">
      <c r="B15" s="363" t="s">
        <v>89</v>
      </c>
      <c r="C15" s="364">
        <f>'Pacing - Act. vs Budget'!C16</f>
        <v>101.73600999999999</v>
      </c>
      <c r="D15" s="364">
        <f>'Pacing - Act. vs Budget'!D16</f>
        <v>154.30257</v>
      </c>
      <c r="E15" s="364">
        <f>'Pacing - Act. vs Budget'!E16</f>
        <v>237.09506999999999</v>
      </c>
      <c r="F15" s="364">
        <f>'Pacing - Act. vs Budget'!F16</f>
        <v>0</v>
      </c>
      <c r="G15" s="365">
        <f t="shared" si="0"/>
        <v>493.13364999999999</v>
      </c>
      <c r="I15" s="351">
        <f>'Pacing - Monthly Inputs (actual'!P68</f>
        <v>191.11727999999999</v>
      </c>
      <c r="J15" s="351">
        <f>'Pacing - Monthly Inputs (actual'!Q68</f>
        <v>-60.911699999999996</v>
      </c>
      <c r="K15" s="351">
        <f>'Pacing - Monthly Inputs (actual'!R68</f>
        <v>14.46935</v>
      </c>
      <c r="L15" s="351">
        <f>'Pacing - Monthly Inputs (actual'!S68</f>
        <v>270.34403000000003</v>
      </c>
      <c r="M15" s="352">
        <f t="shared" si="1"/>
        <v>415.01895999999999</v>
      </c>
    </row>
    <row r="16" spans="1:21" ht="14.25" customHeight="1">
      <c r="B16" s="366" t="s">
        <v>22</v>
      </c>
      <c r="C16" s="367">
        <f>SUM(C6:C15)</f>
        <v>7993.8983900000003</v>
      </c>
      <c r="D16" s="367">
        <f>SUM(D6:D15)</f>
        <v>8156.1595200000011</v>
      </c>
      <c r="E16" s="367">
        <f>SUM(E6:E15)</f>
        <v>8942.3971399999991</v>
      </c>
      <c r="F16" s="367">
        <f>SUM(F6:F15)</f>
        <v>5427.4890966666671</v>
      </c>
      <c r="G16" s="367">
        <f>SUM(G6:G15)</f>
        <v>30519.944146666669</v>
      </c>
      <c r="I16" s="353">
        <f>SUM(I6:I15)</f>
        <v>7158.6724800000002</v>
      </c>
      <c r="J16" s="353">
        <f>SUM(J6:J15)</f>
        <v>6153.5368600000002</v>
      </c>
      <c r="K16" s="353">
        <f>SUM(K6:K15)</f>
        <v>6709.9725000000008</v>
      </c>
      <c r="L16" s="353">
        <f>SUM(L6:L15)</f>
        <v>7043.0142500000002</v>
      </c>
      <c r="M16" s="353">
        <f>SUM(M6:M15)</f>
        <v>27065.196090000005</v>
      </c>
    </row>
    <row r="17" spans="1:19" ht="14.25" customHeight="1">
      <c r="B17" s="368"/>
      <c r="C17" s="369"/>
      <c r="D17" s="369"/>
      <c r="E17" s="369"/>
      <c r="F17" s="369"/>
      <c r="G17" s="370"/>
      <c r="I17" s="354"/>
      <c r="J17" s="355"/>
      <c r="K17" s="355"/>
      <c r="L17" s="355"/>
      <c r="M17" s="356"/>
    </row>
    <row r="18" spans="1:19" ht="14.25" customHeight="1">
      <c r="B18" s="371" t="s">
        <v>23</v>
      </c>
      <c r="C18" s="364">
        <f>'Pacing - Act. vs Budget'!C19</f>
        <v>6999.9999933333329</v>
      </c>
      <c r="D18" s="364">
        <f>'Pacing - Act. vs Budget'!D19</f>
        <v>7000</v>
      </c>
      <c r="E18" s="364">
        <f>'Pacing - Act. vs Budget'!E19</f>
        <v>6913.3605166666675</v>
      </c>
      <c r="F18" s="364">
        <f>'Pacing - Act. vs Budget'!F19</f>
        <v>7000</v>
      </c>
      <c r="G18" s="365">
        <f>SUM(C18:F18)</f>
        <v>27913.360509999999</v>
      </c>
      <c r="I18" s="351">
        <f>'Pacing - Monthly Inputs (actual'!P71</f>
        <v>5999.9999999999991</v>
      </c>
      <c r="J18" s="351">
        <f>'Pacing - Monthly Inputs (actual'!Q71</f>
        <v>6000</v>
      </c>
      <c r="K18" s="351">
        <f>'Pacing - Monthly Inputs (actual'!R71</f>
        <v>6000</v>
      </c>
      <c r="L18" s="351">
        <f>'Pacing - Monthly Inputs (actual'!S71</f>
        <v>7000</v>
      </c>
      <c r="M18" s="352">
        <f>SUM(I18:L18)</f>
        <v>25000</v>
      </c>
    </row>
    <row r="19" spans="1:19" ht="14.25" customHeight="1">
      <c r="B19" s="366" t="s">
        <v>24</v>
      </c>
      <c r="C19" s="367">
        <f>C16+C18</f>
        <v>14993.898383333333</v>
      </c>
      <c r="D19" s="367">
        <f>D16+D18</f>
        <v>15156.159520000001</v>
      </c>
      <c r="E19" s="367">
        <f>E16+E18</f>
        <v>15855.757656666667</v>
      </c>
      <c r="F19" s="367">
        <f>F16+F18</f>
        <v>12427.489096666668</v>
      </c>
      <c r="G19" s="367">
        <f>G16+G18</f>
        <v>58433.304656666667</v>
      </c>
      <c r="I19" s="353">
        <f>I16+I18</f>
        <v>13158.672479999999</v>
      </c>
      <c r="J19" s="353">
        <f>J16+J18</f>
        <v>12153.53686</v>
      </c>
      <c r="K19" s="353">
        <f>K16+K18</f>
        <v>12709.9725</v>
      </c>
      <c r="L19" s="353">
        <f>L16+L18</f>
        <v>14043.01425</v>
      </c>
      <c r="M19" s="353">
        <f>M16+M18</f>
        <v>52065.196090000005</v>
      </c>
    </row>
    <row r="20" spans="1:19" ht="14.25" customHeight="1">
      <c r="B20" s="372"/>
      <c r="C20" s="373"/>
      <c r="D20" s="373"/>
      <c r="E20" s="373"/>
      <c r="F20" s="373"/>
      <c r="G20" s="373"/>
      <c r="I20" s="354"/>
      <c r="J20" s="354"/>
      <c r="K20" s="354"/>
      <c r="L20" s="354"/>
      <c r="M20" s="354"/>
    </row>
    <row r="21" spans="1:19" ht="14.25" customHeight="1">
      <c r="B21" s="65" t="s">
        <v>94</v>
      </c>
      <c r="C21" s="1"/>
      <c r="D21" s="1"/>
      <c r="E21" s="1"/>
      <c r="F21" s="1"/>
      <c r="I21" s="1"/>
      <c r="J21" s="1"/>
      <c r="K21" s="1"/>
      <c r="L21" s="1"/>
      <c r="M21" s="2"/>
      <c r="O21" s="2"/>
      <c r="P21" s="2"/>
      <c r="Q21" s="2"/>
      <c r="R21" s="2"/>
      <c r="S21" s="2"/>
    </row>
    <row r="22" spans="1:19" ht="21">
      <c r="B22" s="3"/>
      <c r="C22" s="329" t="s">
        <v>3</v>
      </c>
      <c r="D22" s="328"/>
      <c r="E22" s="328"/>
      <c r="F22" s="328"/>
      <c r="G22" s="328"/>
      <c r="I22" s="329" t="s">
        <v>2</v>
      </c>
      <c r="J22" s="328"/>
      <c r="K22" s="328"/>
      <c r="L22" s="328"/>
      <c r="M22" s="328"/>
      <c r="O22" s="329" t="s">
        <v>1</v>
      </c>
      <c r="P22" s="328"/>
      <c r="Q22" s="328"/>
      <c r="R22" s="328"/>
      <c r="S22" s="328"/>
    </row>
    <row r="23" spans="1:19" ht="14.25" customHeight="1">
      <c r="A23" s="4"/>
      <c r="B23" s="5" t="s">
        <v>5</v>
      </c>
      <c r="C23" s="6" t="s">
        <v>6</v>
      </c>
      <c r="D23" s="6" t="s">
        <v>7</v>
      </c>
      <c r="E23" s="6" t="s">
        <v>8</v>
      </c>
      <c r="F23" s="6" t="s">
        <v>9</v>
      </c>
      <c r="G23" s="60" t="s">
        <v>12</v>
      </c>
      <c r="H23" s="4"/>
      <c r="I23" s="6" t="s">
        <v>6</v>
      </c>
      <c r="J23" s="6" t="s">
        <v>7</v>
      </c>
      <c r="K23" s="6" t="s">
        <v>8</v>
      </c>
      <c r="L23" s="6" t="s">
        <v>9</v>
      </c>
      <c r="M23" s="60" t="s">
        <v>11</v>
      </c>
      <c r="N23" s="4"/>
      <c r="O23" s="6" t="s">
        <v>6</v>
      </c>
      <c r="P23" s="6" t="s">
        <v>7</v>
      </c>
      <c r="Q23" s="6" t="s">
        <v>8</v>
      </c>
      <c r="R23" s="6" t="s">
        <v>9</v>
      </c>
      <c r="S23" s="60" t="s">
        <v>10</v>
      </c>
    </row>
    <row r="24" spans="1:19" ht="14.25" customHeight="1">
      <c r="B24" s="7" t="s">
        <v>13</v>
      </c>
      <c r="C24" s="9">
        <f>'Pacing - Monthly Inputs (actual'!P78</f>
        <v>4003</v>
      </c>
      <c r="D24" s="9">
        <f>'Pacing - Monthly Inputs (actual'!Q78</f>
        <v>4364</v>
      </c>
      <c r="E24" s="9">
        <f>'Pacing - Monthly Inputs (actual'!R78</f>
        <v>5129</v>
      </c>
      <c r="F24" s="9">
        <f>'Pacing - Monthly Inputs (actual'!S78</f>
        <v>4022</v>
      </c>
      <c r="G24" s="61">
        <f t="shared" ref="G24:G32" si="2">SUM(C24:F24)</f>
        <v>17518</v>
      </c>
      <c r="I24" s="8">
        <f>'Pacing - Monthly Inputs (actual'!P98</f>
        <v>5530.4700400000002</v>
      </c>
      <c r="J24" s="9">
        <f>'Pacing - Monthly Inputs (actual'!Q98</f>
        <v>5309.0869999999995</v>
      </c>
      <c r="K24" s="9">
        <f>'Pacing - Monthly Inputs (actual'!R98</f>
        <v>4910.8960000000006</v>
      </c>
      <c r="L24" s="9">
        <f>'Pacing - Monthly Inputs (actual'!S98</f>
        <v>4230.0004364705883</v>
      </c>
      <c r="M24" s="61">
        <f t="shared" ref="M24:M32" si="3">SUM(I24:L24)</f>
        <v>19980.45347647059</v>
      </c>
      <c r="O24" s="8">
        <f>'Pacing - Monthly Inputs (actual'!P117</f>
        <v>4885.9040292857144</v>
      </c>
      <c r="P24" s="8">
        <f>'Pacing - Monthly Inputs (actual'!Q117</f>
        <v>5717.6506500000005</v>
      </c>
      <c r="Q24" s="8">
        <f>'Pacing - Monthly Inputs (actual'!R117</f>
        <v>6146.2884400000003</v>
      </c>
      <c r="R24" s="8">
        <f>'Pacing - Monthly Inputs (actual'!S117</f>
        <v>5279.2085585714303</v>
      </c>
      <c r="S24" s="61">
        <f t="shared" ref="S24:S32" si="4">SUM(O24:R24)</f>
        <v>22029.051677857147</v>
      </c>
    </row>
    <row r="25" spans="1:19" ht="14.25" customHeight="1">
      <c r="B25" s="7" t="s">
        <v>14</v>
      </c>
      <c r="C25" s="9">
        <f>'Pacing - Monthly Inputs (actual'!P79</f>
        <v>2509</v>
      </c>
      <c r="D25" s="9">
        <f>'Pacing - Monthly Inputs (actual'!Q79</f>
        <v>2554</v>
      </c>
      <c r="E25" s="9">
        <f>'Pacing - Monthly Inputs (actual'!R79</f>
        <v>2106</v>
      </c>
      <c r="F25" s="9">
        <f>'Pacing - Monthly Inputs (actual'!S79</f>
        <v>1596</v>
      </c>
      <c r="G25" s="61">
        <f t="shared" si="2"/>
        <v>8765</v>
      </c>
      <c r="I25" s="8">
        <f>'Pacing - Monthly Inputs (actual'!P99</f>
        <v>1819.2239999999997</v>
      </c>
      <c r="J25" s="9">
        <f>'Pacing - Monthly Inputs (actual'!Q99</f>
        <v>1116.2408600000001</v>
      </c>
      <c r="K25" s="9">
        <f>'Pacing - Monthly Inputs (actual'!R99</f>
        <v>1335.0733500000001</v>
      </c>
      <c r="L25" s="9">
        <f>'Pacing - Monthly Inputs (actual'!S99</f>
        <v>1366.93263</v>
      </c>
      <c r="M25" s="61">
        <f t="shared" si="3"/>
        <v>5637.4708400000009</v>
      </c>
      <c r="O25" s="8">
        <f>'Pacing - Monthly Inputs (actual'!P118</f>
        <v>1057.1998800000001</v>
      </c>
      <c r="P25" s="8">
        <f>'Pacing - Monthly Inputs (actual'!Q118</f>
        <v>1158.67136</v>
      </c>
      <c r="Q25" s="8">
        <f>'Pacing - Monthly Inputs (actual'!R118</f>
        <v>1873.8519999999999</v>
      </c>
      <c r="R25" s="8">
        <f>'Pacing - Monthly Inputs (actual'!S118</f>
        <v>1396.85682</v>
      </c>
      <c r="S25" s="61">
        <f t="shared" si="4"/>
        <v>5486.5800600000002</v>
      </c>
    </row>
    <row r="26" spans="1:19" ht="14.25" customHeight="1">
      <c r="B26" s="7" t="s">
        <v>15</v>
      </c>
      <c r="C26" s="9">
        <f>'Pacing - Monthly Inputs (actual'!P80</f>
        <v>0</v>
      </c>
      <c r="D26" s="9">
        <f>'Pacing - Monthly Inputs (actual'!Q80</f>
        <v>0</v>
      </c>
      <c r="E26" s="9">
        <f>'Pacing - Monthly Inputs (actual'!R80</f>
        <v>0</v>
      </c>
      <c r="F26" s="9">
        <f>'Pacing - Monthly Inputs (actual'!S80</f>
        <v>0</v>
      </c>
      <c r="G26" s="61">
        <f t="shared" si="2"/>
        <v>0</v>
      </c>
      <c r="I26" s="8">
        <f>'Pacing - Monthly Inputs (actual'!P100</f>
        <v>55</v>
      </c>
      <c r="J26" s="9">
        <f>'Pacing - Monthly Inputs (actual'!Q100</f>
        <v>53</v>
      </c>
      <c r="K26" s="9">
        <f>'Pacing - Monthly Inputs (actual'!R100</f>
        <v>45</v>
      </c>
      <c r="L26" s="9">
        <f>'Pacing - Monthly Inputs (actual'!S100</f>
        <v>41</v>
      </c>
      <c r="M26" s="61">
        <f t="shared" si="3"/>
        <v>194</v>
      </c>
      <c r="O26" s="8">
        <f>'Pacing - Monthly Inputs (actual'!P119</f>
        <v>16</v>
      </c>
      <c r="P26" s="8">
        <f>'Pacing - Monthly Inputs (actual'!Q119</f>
        <v>15</v>
      </c>
      <c r="Q26" s="8">
        <f>'Pacing - Monthly Inputs (actual'!R119</f>
        <v>16</v>
      </c>
      <c r="R26" s="8">
        <f>'Pacing - Monthly Inputs (actual'!S119</f>
        <v>124.9</v>
      </c>
      <c r="S26" s="61">
        <f t="shared" si="4"/>
        <v>171.9</v>
      </c>
    </row>
    <row r="27" spans="1:19" ht="14.25" customHeight="1">
      <c r="B27" s="7" t="s">
        <v>16</v>
      </c>
      <c r="C27" s="9">
        <f>'Pacing - Monthly Inputs (actual'!P81</f>
        <v>0</v>
      </c>
      <c r="D27" s="9">
        <f>'Pacing - Monthly Inputs (actual'!Q81</f>
        <v>0</v>
      </c>
      <c r="E27" s="9">
        <f>'Pacing - Monthly Inputs (actual'!R81</f>
        <v>74</v>
      </c>
      <c r="F27" s="9">
        <f>'Pacing - Monthly Inputs (actual'!S81</f>
        <v>38</v>
      </c>
      <c r="G27" s="61">
        <f t="shared" si="2"/>
        <v>112</v>
      </c>
      <c r="I27" s="8">
        <f>'Pacing - Monthly Inputs (actual'!P101</f>
        <v>0</v>
      </c>
      <c r="J27" s="9">
        <f>'Pacing - Monthly Inputs (actual'!Q101</f>
        <v>200</v>
      </c>
      <c r="K27" s="9">
        <f>'Pacing - Monthly Inputs (actual'!R101</f>
        <v>0</v>
      </c>
      <c r="L27" s="9">
        <f>'Pacing - Monthly Inputs (actual'!S101</f>
        <v>0</v>
      </c>
      <c r="M27" s="61">
        <f t="shared" si="3"/>
        <v>200</v>
      </c>
      <c r="O27" s="8">
        <f>'Pacing - Monthly Inputs (actual'!P120</f>
        <v>0</v>
      </c>
      <c r="P27" s="8">
        <f>'Pacing - Monthly Inputs (actual'!Q120</f>
        <v>0</v>
      </c>
      <c r="Q27" s="8">
        <f>'Pacing - Monthly Inputs (actual'!R120</f>
        <v>0</v>
      </c>
      <c r="R27" s="8">
        <f>'Pacing - Monthly Inputs (actual'!S120</f>
        <v>0</v>
      </c>
      <c r="S27" s="61">
        <f t="shared" si="4"/>
        <v>0</v>
      </c>
    </row>
    <row r="28" spans="1:19" ht="14.25" customHeight="1">
      <c r="B28" s="7" t="s">
        <v>17</v>
      </c>
      <c r="C28" s="9">
        <f>'Pacing - Monthly Inputs (actual'!P82</f>
        <v>0</v>
      </c>
      <c r="D28" s="9">
        <f>'Pacing - Monthly Inputs (actual'!Q82</f>
        <v>0</v>
      </c>
      <c r="E28" s="9">
        <f>'Pacing - Monthly Inputs (actual'!R82</f>
        <v>0</v>
      </c>
      <c r="F28" s="9">
        <f>'Pacing - Monthly Inputs (actual'!S82</f>
        <v>0</v>
      </c>
      <c r="G28" s="61">
        <f t="shared" si="2"/>
        <v>0</v>
      </c>
      <c r="I28" s="8">
        <v>0</v>
      </c>
      <c r="J28" s="9">
        <v>0</v>
      </c>
      <c r="K28" s="9">
        <v>0</v>
      </c>
      <c r="L28" s="9">
        <v>0</v>
      </c>
      <c r="M28" s="61">
        <f t="shared" si="3"/>
        <v>0</v>
      </c>
      <c r="O28" s="8">
        <v>0</v>
      </c>
      <c r="P28" s="8">
        <v>0</v>
      </c>
      <c r="Q28" s="8">
        <v>0</v>
      </c>
      <c r="R28" s="8">
        <v>0</v>
      </c>
      <c r="S28" s="61">
        <f t="shared" si="4"/>
        <v>0</v>
      </c>
    </row>
    <row r="29" spans="1:19" ht="14.25" customHeight="1">
      <c r="B29" s="7" t="s">
        <v>18</v>
      </c>
      <c r="C29" s="9">
        <f>'Pacing - Monthly Inputs (actual'!P83</f>
        <v>0</v>
      </c>
      <c r="D29" s="9">
        <f>'Pacing - Monthly Inputs (actual'!Q83</f>
        <v>0</v>
      </c>
      <c r="E29" s="9">
        <f>'Pacing - Monthly Inputs (actual'!R83</f>
        <v>0</v>
      </c>
      <c r="F29" s="9">
        <f>'Pacing - Monthly Inputs (actual'!S83</f>
        <v>0</v>
      </c>
      <c r="G29" s="61">
        <f t="shared" si="2"/>
        <v>0</v>
      </c>
      <c r="I29" s="8">
        <v>0</v>
      </c>
      <c r="J29" s="9">
        <v>0</v>
      </c>
      <c r="K29" s="9">
        <v>0</v>
      </c>
      <c r="L29" s="9">
        <v>0</v>
      </c>
      <c r="M29" s="61">
        <f t="shared" si="3"/>
        <v>0</v>
      </c>
      <c r="O29" s="8">
        <v>0</v>
      </c>
      <c r="P29" s="8">
        <v>0</v>
      </c>
      <c r="Q29" s="8">
        <v>0</v>
      </c>
      <c r="R29" s="8">
        <v>0</v>
      </c>
      <c r="S29" s="61">
        <f t="shared" si="4"/>
        <v>0</v>
      </c>
    </row>
    <row r="30" spans="1:19" ht="14.25" customHeight="1">
      <c r="B30" s="7" t="s">
        <v>19</v>
      </c>
      <c r="C30" s="9">
        <f>'Pacing - Monthly Inputs (actual'!P84</f>
        <v>0</v>
      </c>
      <c r="D30" s="9">
        <f>'Pacing - Monthly Inputs (actual'!Q84</f>
        <v>0</v>
      </c>
      <c r="E30" s="9">
        <f>'Pacing - Monthly Inputs (actual'!R84</f>
        <v>0</v>
      </c>
      <c r="F30" s="9">
        <f>'Pacing - Monthly Inputs (actual'!S84</f>
        <v>0</v>
      </c>
      <c r="G30" s="61">
        <f t="shared" si="2"/>
        <v>0</v>
      </c>
      <c r="I30" s="8">
        <v>0</v>
      </c>
      <c r="J30" s="9">
        <v>0</v>
      </c>
      <c r="K30" s="9">
        <v>0</v>
      </c>
      <c r="L30" s="9">
        <v>0</v>
      </c>
      <c r="M30" s="61">
        <f t="shared" si="3"/>
        <v>0</v>
      </c>
      <c r="O30" s="8">
        <f>'Pacing - Monthly Inputs (actual'!P123</f>
        <v>58</v>
      </c>
      <c r="P30" s="8">
        <f>'Pacing - Monthly Inputs (actual'!Q123</f>
        <v>58</v>
      </c>
      <c r="Q30" s="8">
        <f>'Pacing - Monthly Inputs (actual'!R123</f>
        <v>57</v>
      </c>
      <c r="R30" s="8">
        <f>'Pacing - Monthly Inputs (actual'!S123</f>
        <v>0</v>
      </c>
      <c r="S30" s="61">
        <f t="shared" si="4"/>
        <v>173</v>
      </c>
    </row>
    <row r="31" spans="1:19" ht="14.25" customHeight="1">
      <c r="B31" s="7" t="s">
        <v>20</v>
      </c>
      <c r="C31" s="9">
        <f>'Pacing - Monthly Inputs (actual'!P85</f>
        <v>0</v>
      </c>
      <c r="D31" s="9">
        <f>'Pacing - Monthly Inputs (actual'!Q85</f>
        <v>0</v>
      </c>
      <c r="E31" s="9">
        <f>'Pacing - Monthly Inputs (actual'!R85</f>
        <v>0</v>
      </c>
      <c r="F31" s="9">
        <f>'Pacing - Monthly Inputs (actual'!S85</f>
        <v>0</v>
      </c>
      <c r="G31" s="61">
        <f t="shared" si="2"/>
        <v>0</v>
      </c>
      <c r="I31" s="8">
        <v>0</v>
      </c>
      <c r="J31" s="9">
        <v>0</v>
      </c>
      <c r="K31" s="9">
        <f>'Pacing - Monthly Inputs (actual'!R105</f>
        <v>298</v>
      </c>
      <c r="L31" s="9">
        <v>0</v>
      </c>
      <c r="M31" s="61">
        <f t="shared" si="3"/>
        <v>298</v>
      </c>
      <c r="O31" s="8">
        <v>0</v>
      </c>
      <c r="P31" s="8">
        <v>0</v>
      </c>
      <c r="Q31" s="8">
        <v>0</v>
      </c>
      <c r="R31" s="8">
        <v>0</v>
      </c>
      <c r="S31" s="61">
        <f t="shared" si="4"/>
        <v>0</v>
      </c>
    </row>
    <row r="32" spans="1:19" ht="14.25" customHeight="1">
      <c r="B32" s="7" t="s">
        <v>21</v>
      </c>
      <c r="C32" s="8">
        <v>0</v>
      </c>
      <c r="D32" s="8">
        <v>0</v>
      </c>
      <c r="E32" s="8">
        <v>0</v>
      </c>
      <c r="F32" s="8">
        <v>0</v>
      </c>
      <c r="G32" s="61">
        <f t="shared" si="2"/>
        <v>0</v>
      </c>
      <c r="I32" s="8">
        <v>0</v>
      </c>
      <c r="J32" s="8">
        <v>0</v>
      </c>
      <c r="K32" s="8">
        <v>0</v>
      </c>
      <c r="L32" s="8">
        <v>0</v>
      </c>
      <c r="M32" s="61">
        <f t="shared" si="3"/>
        <v>0</v>
      </c>
      <c r="O32" s="8">
        <v>0</v>
      </c>
      <c r="P32" s="8">
        <v>0</v>
      </c>
      <c r="Q32" s="8">
        <v>0</v>
      </c>
      <c r="R32" s="8">
        <v>0</v>
      </c>
      <c r="S32" s="61">
        <f t="shared" si="4"/>
        <v>0</v>
      </c>
    </row>
    <row r="33" spans="1:19" ht="14.25" customHeight="1">
      <c r="B33" s="11" t="s">
        <v>22</v>
      </c>
      <c r="C33" s="12">
        <f t="shared" ref="C33:G33" si="5">SUM(C24:C32)</f>
        <v>6512</v>
      </c>
      <c r="D33" s="12">
        <f t="shared" si="5"/>
        <v>6918</v>
      </c>
      <c r="E33" s="12">
        <f t="shared" si="5"/>
        <v>7309</v>
      </c>
      <c r="F33" s="12">
        <f t="shared" si="5"/>
        <v>5656</v>
      </c>
      <c r="G33" s="62">
        <f t="shared" si="5"/>
        <v>26395</v>
      </c>
      <c r="I33" s="12">
        <f t="shared" ref="I33:M33" si="6">SUM(I24:I32)</f>
        <v>7404.6940400000003</v>
      </c>
      <c r="J33" s="12">
        <f t="shared" si="6"/>
        <v>6678.3278599999994</v>
      </c>
      <c r="K33" s="12">
        <f t="shared" si="6"/>
        <v>6588.9693500000012</v>
      </c>
      <c r="L33" s="12">
        <f t="shared" si="6"/>
        <v>5637.9330664705885</v>
      </c>
      <c r="M33" s="62">
        <f t="shared" si="6"/>
        <v>26309.924316470591</v>
      </c>
      <c r="O33" s="12">
        <f t="shared" ref="O33:S33" si="7">SUM(O24:O32)</f>
        <v>6017.1039092857145</v>
      </c>
      <c r="P33" s="12">
        <f t="shared" si="7"/>
        <v>6949.3220100000008</v>
      </c>
      <c r="Q33" s="12">
        <f t="shared" si="7"/>
        <v>8093.1404400000001</v>
      </c>
      <c r="R33" s="12">
        <f t="shared" si="7"/>
        <v>6800.9653785714299</v>
      </c>
      <c r="S33" s="62">
        <f t="shared" si="7"/>
        <v>27860.531737857149</v>
      </c>
    </row>
    <row r="34" spans="1:19" ht="14.25" customHeight="1">
      <c r="C34" s="17"/>
      <c r="D34" s="17"/>
      <c r="E34" s="17"/>
      <c r="F34" s="17"/>
      <c r="G34" s="63"/>
      <c r="I34" s="15"/>
      <c r="J34" s="16"/>
      <c r="K34" s="16"/>
      <c r="L34" s="16"/>
      <c r="M34" s="63"/>
      <c r="P34" s="15"/>
      <c r="Q34" s="15"/>
      <c r="R34" s="15"/>
      <c r="S34" s="63"/>
    </row>
    <row r="35" spans="1:19" ht="14.25" customHeight="1">
      <c r="B35" s="7" t="s">
        <v>23</v>
      </c>
      <c r="C35" s="9">
        <v>4090.6322599999999</v>
      </c>
      <c r="D35" s="9">
        <v>3591.5898500000003</v>
      </c>
      <c r="E35" s="9">
        <v>3051.5611400000003</v>
      </c>
      <c r="F35" s="9">
        <v>6000</v>
      </c>
      <c r="G35" s="61">
        <f>SUM(C35:F35)</f>
        <v>16733.78325</v>
      </c>
      <c r="I35" s="8">
        <v>1311.4808</v>
      </c>
      <c r="J35" s="9">
        <v>1820.94893</v>
      </c>
      <c r="K35" s="9">
        <v>2000</v>
      </c>
      <c r="L35" s="9">
        <v>3205.2345699999996</v>
      </c>
      <c r="M35" s="61">
        <f>SUM(I35:L35)</f>
        <v>8337.6643000000004</v>
      </c>
      <c r="O35" s="8">
        <v>1547.65</v>
      </c>
      <c r="P35" s="8">
        <v>1521</v>
      </c>
      <c r="Q35" s="8">
        <v>0</v>
      </c>
      <c r="R35" s="8">
        <f>'Pacing - Monthly Inputs (actual'!S127</f>
        <v>1249.0047299999999</v>
      </c>
      <c r="S35" s="61">
        <f>SUM(O35:R35)</f>
        <v>4317.6547300000002</v>
      </c>
    </row>
    <row r="36" spans="1:19" ht="14.25" customHeight="1">
      <c r="B36" s="11" t="s">
        <v>24</v>
      </c>
      <c r="C36" s="13">
        <f t="shared" ref="C36:G36" si="8">C33+C35</f>
        <v>10602.63226</v>
      </c>
      <c r="D36" s="13">
        <f t="shared" si="8"/>
        <v>10509.58985</v>
      </c>
      <c r="E36" s="13">
        <f t="shared" si="8"/>
        <v>10360.56114</v>
      </c>
      <c r="F36" s="13">
        <f t="shared" si="8"/>
        <v>11656</v>
      </c>
      <c r="G36" s="62">
        <f t="shared" si="8"/>
        <v>43128.78325</v>
      </c>
      <c r="I36" s="12">
        <f t="shared" ref="I36:M36" si="9">I33+I35</f>
        <v>8716.1748399999997</v>
      </c>
      <c r="J36" s="13">
        <f t="shared" si="9"/>
        <v>8499.2767899999999</v>
      </c>
      <c r="K36" s="13">
        <f t="shared" si="9"/>
        <v>8588.9693500000012</v>
      </c>
      <c r="L36" s="13">
        <f t="shared" si="9"/>
        <v>8843.1676364705891</v>
      </c>
      <c r="M36" s="62">
        <f t="shared" si="9"/>
        <v>34647.588616470588</v>
      </c>
      <c r="O36" s="12">
        <f t="shared" ref="O36:S36" si="10">O33+O35</f>
        <v>7564.7539092857151</v>
      </c>
      <c r="P36" s="12">
        <f t="shared" si="10"/>
        <v>8470.3220099999999</v>
      </c>
      <c r="Q36" s="12">
        <f t="shared" si="10"/>
        <v>8093.1404400000001</v>
      </c>
      <c r="R36" s="12">
        <f t="shared" si="10"/>
        <v>8049.9701085714296</v>
      </c>
      <c r="S36" s="62">
        <f t="shared" si="10"/>
        <v>32178.186467857151</v>
      </c>
    </row>
    <row r="37" spans="1:19" ht="14.25" customHeight="1">
      <c r="D37" s="15"/>
      <c r="E37" s="15"/>
      <c r="F37" s="15"/>
      <c r="G37" s="15"/>
      <c r="J37" s="15"/>
      <c r="K37" s="15"/>
    </row>
    <row r="38" spans="1:19" ht="14.25" customHeight="1">
      <c r="C38" s="20"/>
      <c r="D38" s="20"/>
      <c r="E38" s="20"/>
      <c r="F38" s="20"/>
      <c r="G38" s="20"/>
      <c r="I38" s="20"/>
      <c r="J38" s="20"/>
      <c r="K38" s="20"/>
      <c r="L38" s="21"/>
      <c r="M38" s="21"/>
      <c r="O38" s="21"/>
      <c r="P38" s="21"/>
      <c r="R38" s="21"/>
      <c r="S38" s="21"/>
    </row>
    <row r="39" spans="1:19" ht="14.25" customHeight="1"/>
    <row r="40" spans="1:19" ht="14.25" customHeight="1"/>
    <row r="41" spans="1:19" ht="14.25" customHeight="1"/>
    <row r="42" spans="1:19" ht="14.25" customHeight="1"/>
    <row r="43" spans="1:19" ht="14.25" customHeight="1"/>
    <row r="44" spans="1:19" ht="14.25" customHeight="1"/>
    <row r="45" spans="1:19" ht="14.25" customHeight="1">
      <c r="A45" s="154" t="s">
        <v>30</v>
      </c>
    </row>
    <row r="46" spans="1:19" ht="14.25" customHeight="1"/>
    <row r="47" spans="1:19" ht="14.25" customHeight="1"/>
    <row r="48" spans="1:1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</sheetData>
  <mergeCells count="6">
    <mergeCell ref="B2:S2"/>
    <mergeCell ref="I4:M4"/>
    <mergeCell ref="O22:S22"/>
    <mergeCell ref="I22:M22"/>
    <mergeCell ref="C22:G22"/>
    <mergeCell ref="C4:G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U980"/>
  <sheetViews>
    <sheetView showGridLines="0" zoomScale="85" zoomScaleNormal="85" workbookViewId="0">
      <selection activeCell="E37" sqref="E37"/>
    </sheetView>
  </sheetViews>
  <sheetFormatPr defaultColWidth="14.42578125" defaultRowHeight="15" customHeight="1"/>
  <cols>
    <col min="1" max="1" width="4.140625" customWidth="1"/>
    <col min="2" max="2" width="31.28515625" bestFit="1" customWidth="1"/>
    <col min="3" max="7" width="9.85546875" customWidth="1"/>
    <col min="8" max="8" width="4.28515625" customWidth="1"/>
    <col min="9" max="9" width="31.28515625" bestFit="1" customWidth="1"/>
    <col min="10" max="14" width="9.85546875" customWidth="1"/>
    <col min="15" max="15" width="4.28515625" customWidth="1"/>
    <col min="16" max="16" width="31.28515625" bestFit="1" customWidth="1"/>
    <col min="17" max="21" width="9.85546875" customWidth="1"/>
  </cols>
  <sheetData>
    <row r="1" spans="2:21" ht="14.25" customHeight="1"/>
    <row r="2" spans="2:21" ht="23.25">
      <c r="B2" s="331" t="s">
        <v>0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</row>
    <row r="3" spans="2:21" ht="14.25" customHeight="1">
      <c r="B3" s="65"/>
      <c r="D3" s="15"/>
      <c r="E3" s="27"/>
      <c r="F3" s="27"/>
      <c r="G3" s="15"/>
      <c r="K3" s="17"/>
      <c r="L3" s="15"/>
      <c r="R3" s="18"/>
    </row>
    <row r="4" spans="2:21" ht="22.5">
      <c r="B4" s="332" t="s">
        <v>116</v>
      </c>
      <c r="C4" s="328"/>
      <c r="D4" s="328"/>
      <c r="E4" s="328"/>
      <c r="F4" s="328"/>
      <c r="G4" s="328"/>
      <c r="I4" s="332" t="s">
        <v>118</v>
      </c>
      <c r="J4" s="328"/>
      <c r="K4" s="328"/>
      <c r="L4" s="328"/>
      <c r="M4" s="328"/>
      <c r="N4" s="328"/>
      <c r="P4" s="332" t="s">
        <v>116</v>
      </c>
      <c r="Q4" s="328"/>
      <c r="R4" s="328"/>
      <c r="S4" s="328"/>
      <c r="T4" s="328"/>
      <c r="U4" s="328"/>
    </row>
    <row r="5" spans="2:21" ht="21">
      <c r="B5" s="330" t="s">
        <v>111</v>
      </c>
      <c r="C5" s="328"/>
      <c r="D5" s="328"/>
      <c r="E5" s="328"/>
      <c r="F5" s="328"/>
      <c r="G5" s="328"/>
      <c r="I5" s="330" t="s">
        <v>26</v>
      </c>
      <c r="J5" s="328"/>
      <c r="K5" s="328"/>
      <c r="L5" s="328"/>
      <c r="M5" s="328"/>
      <c r="N5" s="328"/>
      <c r="P5" s="330" t="s">
        <v>27</v>
      </c>
      <c r="Q5" s="328"/>
      <c r="R5" s="328"/>
      <c r="S5" s="328"/>
      <c r="T5" s="328"/>
      <c r="U5" s="328"/>
    </row>
    <row r="6" spans="2:21" ht="14.25" customHeight="1">
      <c r="B6" s="23"/>
      <c r="C6" s="26" t="s">
        <v>6</v>
      </c>
      <c r="D6" s="22" t="s">
        <v>7</v>
      </c>
      <c r="E6" s="22" t="s">
        <v>8</v>
      </c>
      <c r="F6" s="22" t="s">
        <v>9</v>
      </c>
      <c r="G6" s="23" t="s">
        <v>28</v>
      </c>
      <c r="I6" s="23"/>
      <c r="J6" s="26" t="s">
        <v>6</v>
      </c>
      <c r="K6" s="22" t="s">
        <v>7</v>
      </c>
      <c r="L6" s="22" t="s">
        <v>8</v>
      </c>
      <c r="M6" s="22" t="s">
        <v>9</v>
      </c>
      <c r="N6" s="23" t="s">
        <v>28</v>
      </c>
      <c r="P6" s="23"/>
      <c r="Q6" s="26" t="s">
        <v>6</v>
      </c>
      <c r="R6" s="22" t="s">
        <v>7</v>
      </c>
      <c r="S6" s="22" t="s">
        <v>8</v>
      </c>
      <c r="T6" s="22" t="s">
        <v>9</v>
      </c>
      <c r="U6" s="23" t="s">
        <v>28</v>
      </c>
    </row>
    <row r="7" spans="2:21" ht="14.25" customHeight="1">
      <c r="B7" s="7" t="s">
        <v>82</v>
      </c>
      <c r="C7" s="10">
        <f>'Pacing - Monthly Inputs (actual'!P6</f>
        <v>4751.7107000000005</v>
      </c>
      <c r="D7" s="10">
        <f>'Pacing - Monthly Inputs (actual'!Q6</f>
        <v>4349.94931</v>
      </c>
      <c r="E7" s="10">
        <f>'Pacing - Monthly Inputs (actual'!R6</f>
        <v>5414.67425</v>
      </c>
      <c r="F7" s="10">
        <f>'Pacing - Monthly Inputs (actual'!S6</f>
        <v>4357.1671999999999</v>
      </c>
      <c r="G7" s="120">
        <f t="shared" ref="G7:G16" si="0">SUM(C7:F7)</f>
        <v>18873.501459999999</v>
      </c>
      <c r="I7" s="7" t="str">
        <f>B7</f>
        <v>BNB – Embedded Direct</v>
      </c>
      <c r="J7" s="10">
        <v>4384.8216946354669</v>
      </c>
      <c r="K7" s="10">
        <v>4469.6592336404256</v>
      </c>
      <c r="L7" s="10">
        <v>4750.4144852033442</v>
      </c>
      <c r="M7" s="10">
        <v>4000</v>
      </c>
      <c r="N7" s="120">
        <f t="shared" ref="N7:N16" si="1">SUM(J7:M7)</f>
        <v>17604.895413479237</v>
      </c>
      <c r="P7" s="7" t="str">
        <f>I7</f>
        <v>BNB – Embedded Direct</v>
      </c>
      <c r="Q7" s="10">
        <f t="shared" ref="Q7" si="2">C7-J7</f>
        <v>366.88900536453366</v>
      </c>
      <c r="R7" s="10">
        <f t="shared" ref="R7" si="3">D7-K7</f>
        <v>-119.70992364042559</v>
      </c>
      <c r="S7" s="10">
        <f t="shared" ref="S7" si="4">E7-L7</f>
        <v>664.25976479665587</v>
      </c>
      <c r="T7" s="10">
        <f t="shared" ref="T7" si="5">F7-M7</f>
        <v>357.16719999999987</v>
      </c>
      <c r="U7" s="21">
        <f t="shared" ref="U7:U16" si="6">SUM(Q7:T7)</f>
        <v>1268.6060465207638</v>
      </c>
    </row>
    <row r="8" spans="2:21" ht="14.25" customHeight="1">
      <c r="B8" s="7" t="s">
        <v>83</v>
      </c>
      <c r="C8" s="10">
        <f>'Pacing - Monthly Inputs (actual'!P7</f>
        <v>436.82173</v>
      </c>
      <c r="D8" s="10">
        <f>'Pacing - Monthly Inputs (actual'!Q7</f>
        <v>439.09064999999998</v>
      </c>
      <c r="E8" s="10">
        <f>'Pacing - Monthly Inputs (actual'!R7</f>
        <v>591.71398999999997</v>
      </c>
      <c r="F8" s="10">
        <f>'Pacing - Monthly Inputs (actual'!S7</f>
        <v>540.83218999999997</v>
      </c>
      <c r="G8" s="120">
        <f t="shared" si="0"/>
        <v>2008.45856</v>
      </c>
      <c r="I8" s="7" t="str">
        <f t="shared" ref="I8:I16" si="7">B8</f>
        <v>BNB – DAI Direct</v>
      </c>
      <c r="J8" s="10">
        <v>840.7059975035902</v>
      </c>
      <c r="K8" s="10">
        <v>965.34951446598927</v>
      </c>
      <c r="L8" s="10">
        <v>1018.5763323640456</v>
      </c>
      <c r="M8" s="10">
        <v>635</v>
      </c>
      <c r="N8" s="120">
        <f t="shared" si="1"/>
        <v>3459.6318443336249</v>
      </c>
      <c r="P8" s="7" t="str">
        <f t="shared" ref="P8:P16" si="8">I8</f>
        <v>BNB – DAI Direct</v>
      </c>
      <c r="Q8" s="10">
        <f t="shared" ref="Q8:Q16" si="9">C8-J8</f>
        <v>-403.88426750359019</v>
      </c>
      <c r="R8" s="10">
        <f t="shared" ref="R8:R16" si="10">D8-K8</f>
        <v>-526.25886446598929</v>
      </c>
      <c r="S8" s="10">
        <f t="shared" ref="S8:S16" si="11">E8-L8</f>
        <v>-426.86234236404562</v>
      </c>
      <c r="T8" s="10">
        <f t="shared" ref="T8:T16" si="12">F8-M8</f>
        <v>-94.167810000000031</v>
      </c>
      <c r="U8" s="21">
        <f t="shared" si="6"/>
        <v>-1451.1732843336249</v>
      </c>
    </row>
    <row r="9" spans="2:21" ht="14.25" customHeight="1">
      <c r="B9" s="107" t="s">
        <v>90</v>
      </c>
      <c r="C9" s="10">
        <f>'Pacing - Monthly Inputs (actual'!P8</f>
        <v>189.65</v>
      </c>
      <c r="D9" s="10">
        <f>'Pacing - Monthly Inputs (actual'!Q8</f>
        <v>97</v>
      </c>
      <c r="E9" s="10">
        <f>'Pacing - Monthly Inputs (actual'!R8</f>
        <v>41</v>
      </c>
      <c r="F9" s="10">
        <f>'Pacing - Monthly Inputs (actual'!S8</f>
        <v>159.625</v>
      </c>
      <c r="G9" s="120">
        <f t="shared" si="0"/>
        <v>487.27499999999998</v>
      </c>
      <c r="I9" s="107" t="s">
        <v>90</v>
      </c>
      <c r="J9" s="10">
        <f>'Pacing - Monthly Inputs (actual'!W8</f>
        <v>0</v>
      </c>
      <c r="K9" s="10">
        <f>'Pacing - Monthly Inputs (actual'!X8</f>
        <v>0</v>
      </c>
      <c r="L9" s="10">
        <f>'Pacing - Monthly Inputs (actual'!Y8</f>
        <v>0</v>
      </c>
      <c r="M9" s="10">
        <v>154</v>
      </c>
      <c r="N9" s="120">
        <f t="shared" si="1"/>
        <v>154</v>
      </c>
      <c r="P9" s="107" t="str">
        <f t="shared" si="8"/>
        <v>BNB – Other (social / segments / etc)</v>
      </c>
      <c r="Q9" s="10">
        <f t="shared" si="9"/>
        <v>189.65</v>
      </c>
      <c r="R9" s="10">
        <f t="shared" si="10"/>
        <v>97</v>
      </c>
      <c r="S9" s="10">
        <f t="shared" si="11"/>
        <v>41</v>
      </c>
      <c r="T9" s="10">
        <f t="shared" si="12"/>
        <v>5.625</v>
      </c>
      <c r="U9" s="21">
        <f t="shared" si="6"/>
        <v>333.27499999999998</v>
      </c>
    </row>
    <row r="10" spans="2:21" ht="14.25" customHeight="1">
      <c r="B10" s="7" t="s">
        <v>79</v>
      </c>
      <c r="C10" s="10">
        <f>'Pacing - Monthly Inputs (actual'!P9</f>
        <v>327.33862999999997</v>
      </c>
      <c r="D10" s="10">
        <f>'Pacing - Monthly Inputs (actual'!Q9</f>
        <v>512.40969000000007</v>
      </c>
      <c r="E10" s="10">
        <f>'Pacing - Monthly Inputs (actual'!R9</f>
        <v>442.24754999999999</v>
      </c>
      <c r="F10" s="10">
        <f>'Pacing - Monthly Inputs (actual'!S9</f>
        <v>119.19537999999997</v>
      </c>
      <c r="G10" s="120">
        <f t="shared" si="0"/>
        <v>1401.1912499999999</v>
      </c>
      <c r="I10" s="7" t="str">
        <f t="shared" si="7"/>
        <v>Programmatic Revenue</v>
      </c>
      <c r="J10" s="10">
        <f>1974506.18/1000</f>
        <v>1974.5061799999999</v>
      </c>
      <c r="K10" s="10">
        <f>2371198.29879053/1000</f>
        <v>2371.1982987905299</v>
      </c>
      <c r="L10" s="10">
        <f>2530310.56/1000</f>
        <v>2530.3105599999999</v>
      </c>
      <c r="M10" s="10">
        <v>1200</v>
      </c>
      <c r="N10" s="120">
        <f t="shared" si="1"/>
        <v>8076.0150387905296</v>
      </c>
      <c r="P10" s="7" t="str">
        <f t="shared" si="8"/>
        <v>Programmatic Revenue</v>
      </c>
      <c r="Q10" s="10">
        <f t="shared" si="9"/>
        <v>-1647.1675499999999</v>
      </c>
      <c r="R10" s="10">
        <f t="shared" si="10"/>
        <v>-1858.7886087905299</v>
      </c>
      <c r="S10" s="10">
        <f t="shared" si="11"/>
        <v>-2088.0630099999998</v>
      </c>
      <c r="T10" s="10">
        <f t="shared" si="12"/>
        <v>-1080.8046200000001</v>
      </c>
      <c r="U10" s="21">
        <f t="shared" si="6"/>
        <v>-6674.8237887905298</v>
      </c>
    </row>
    <row r="11" spans="2:21" ht="14.25" customHeight="1">
      <c r="B11" s="7" t="s">
        <v>85</v>
      </c>
      <c r="C11" s="10">
        <f>'Pacing - Monthly Inputs (actual'!P10</f>
        <v>1844.7241700000002</v>
      </c>
      <c r="D11" s="10">
        <f>'Pacing - Monthly Inputs (actual'!Q10</f>
        <v>2205.4375399999999</v>
      </c>
      <c r="E11" s="10">
        <f>'Pacing - Monthly Inputs (actual'!R10</f>
        <v>1841.1344199999999</v>
      </c>
      <c r="F11" s="10">
        <f>'Pacing - Monthly Inputs (actual'!S10</f>
        <v>139.83252666666669</v>
      </c>
      <c r="G11" s="120">
        <f t="shared" si="0"/>
        <v>6031.1286566666677</v>
      </c>
      <c r="I11" s="7" t="str">
        <f t="shared" si="7"/>
        <v>Art 19  - MG or billed</v>
      </c>
      <c r="J11" s="10">
        <f>'Pacing - Monthly Inputs (actual'!W10</f>
        <v>0</v>
      </c>
      <c r="K11" s="10">
        <f>'Pacing - Monthly Inputs (actual'!X10</f>
        <v>0</v>
      </c>
      <c r="L11" s="10">
        <f>'Pacing - Monthly Inputs (actual'!Y10</f>
        <v>0</v>
      </c>
      <c r="M11" s="10">
        <f>'Pacing - Monthly Inputs (actual'!Z10</f>
        <v>0</v>
      </c>
      <c r="N11" s="120">
        <f t="shared" si="1"/>
        <v>0</v>
      </c>
      <c r="P11" s="7" t="str">
        <f t="shared" si="8"/>
        <v>Art 19  - MG or billed</v>
      </c>
      <c r="Q11" s="10">
        <f t="shared" si="9"/>
        <v>1844.7241700000002</v>
      </c>
      <c r="R11" s="10">
        <f t="shared" si="10"/>
        <v>2205.4375399999999</v>
      </c>
      <c r="S11" s="10">
        <f t="shared" si="11"/>
        <v>1841.1344199999999</v>
      </c>
      <c r="T11" s="10">
        <f t="shared" si="12"/>
        <v>139.83252666666669</v>
      </c>
      <c r="U11" s="21">
        <f t="shared" si="6"/>
        <v>6031.1286566666677</v>
      </c>
    </row>
    <row r="12" spans="2:21" ht="14.25" customHeight="1">
      <c r="B12" s="7" t="s">
        <v>29</v>
      </c>
      <c r="C12" s="10">
        <f>'Pacing - Monthly Inputs (actual'!P11</f>
        <v>326.84302999999989</v>
      </c>
      <c r="D12" s="10">
        <f>'Pacing - Monthly Inputs (actual'!Q11</f>
        <v>340.19839000000002</v>
      </c>
      <c r="E12" s="10">
        <f>'Pacing - Monthly Inputs (actual'!R11</f>
        <v>358.03185999999999</v>
      </c>
      <c r="F12" s="10">
        <f>'Pacing - Monthly Inputs (actual'!S11</f>
        <v>97.086799999999997</v>
      </c>
      <c r="G12" s="120">
        <f t="shared" si="0"/>
        <v>1122.1600799999999</v>
      </c>
      <c r="I12" s="7" t="str">
        <f t="shared" si="7"/>
        <v>Podroll</v>
      </c>
      <c r="J12" s="10">
        <f>'Pacing - Monthly Inputs (actual'!W11</f>
        <v>0</v>
      </c>
      <c r="K12" s="10">
        <f>'Pacing - Monthly Inputs (actual'!X11</f>
        <v>0</v>
      </c>
      <c r="L12" s="10">
        <f>'Pacing - Monthly Inputs (actual'!Y11</f>
        <v>0</v>
      </c>
      <c r="M12" s="10">
        <v>120</v>
      </c>
      <c r="N12" s="120">
        <f t="shared" si="1"/>
        <v>120</v>
      </c>
      <c r="P12" s="7" t="str">
        <f t="shared" si="8"/>
        <v>Podroll</v>
      </c>
      <c r="Q12" s="10">
        <f t="shared" si="9"/>
        <v>326.84302999999989</v>
      </c>
      <c r="R12" s="10">
        <f t="shared" si="10"/>
        <v>340.19839000000002</v>
      </c>
      <c r="S12" s="10">
        <f t="shared" si="11"/>
        <v>358.03185999999999</v>
      </c>
      <c r="T12" s="10">
        <f t="shared" si="12"/>
        <v>-22.913200000000003</v>
      </c>
      <c r="U12" s="21">
        <f t="shared" si="6"/>
        <v>1002.1600799999999</v>
      </c>
    </row>
    <row r="13" spans="2:21" ht="14.25" customHeight="1">
      <c r="B13" s="7" t="s">
        <v>86</v>
      </c>
      <c r="C13" s="10">
        <f>'Pacing - Monthly Inputs (actual'!P12</f>
        <v>12.5</v>
      </c>
      <c r="D13" s="10">
        <f>'Pacing - Monthly Inputs (actual'!Q12</f>
        <v>57.75</v>
      </c>
      <c r="E13" s="10">
        <f>'Pacing - Monthly Inputs (actual'!R12</f>
        <v>16.5</v>
      </c>
      <c r="F13" s="10">
        <f>'Pacing - Monthly Inputs (actual'!S12</f>
        <v>13.75</v>
      </c>
      <c r="G13" s="120">
        <f t="shared" si="0"/>
        <v>100.5</v>
      </c>
      <c r="I13" s="7" t="str">
        <f t="shared" si="7"/>
        <v>PodcastOne Pro</v>
      </c>
      <c r="J13" s="10">
        <f>'Pacing - Monthly Inputs (actual'!W12</f>
        <v>0</v>
      </c>
      <c r="K13" s="10">
        <f>'Pacing - Monthly Inputs (actual'!X12</f>
        <v>0</v>
      </c>
      <c r="L13" s="10">
        <f>'Pacing - Monthly Inputs (actual'!Y12</f>
        <v>0</v>
      </c>
      <c r="M13" s="10">
        <v>76.25</v>
      </c>
      <c r="N13" s="120">
        <f t="shared" si="1"/>
        <v>76.25</v>
      </c>
      <c r="P13" s="7" t="str">
        <f t="shared" si="8"/>
        <v>PodcastOne Pro</v>
      </c>
      <c r="Q13" s="10">
        <f t="shared" si="9"/>
        <v>12.5</v>
      </c>
      <c r="R13" s="10">
        <f t="shared" si="10"/>
        <v>57.75</v>
      </c>
      <c r="S13" s="10">
        <f t="shared" si="11"/>
        <v>16.5</v>
      </c>
      <c r="T13" s="10">
        <f t="shared" si="12"/>
        <v>-62.5</v>
      </c>
      <c r="U13" s="21">
        <f t="shared" si="6"/>
        <v>24.25</v>
      </c>
    </row>
    <row r="14" spans="2:21" ht="14.25" customHeight="1">
      <c r="B14" s="7" t="s">
        <v>87</v>
      </c>
      <c r="C14" s="10">
        <f>'Pacing - Monthly Inputs (actual'!P13</f>
        <v>2.5741199999999997</v>
      </c>
      <c r="D14" s="10">
        <f>'Pacing - Monthly Inputs (actual'!Q13</f>
        <v>2.137E-2</v>
      </c>
      <c r="E14" s="10">
        <f>'Pacing - Monthly Inputs (actual'!R13</f>
        <v>0</v>
      </c>
      <c r="F14" s="10">
        <f>'Pacing - Monthly Inputs (actual'!S13</f>
        <v>0</v>
      </c>
      <c r="G14" s="120">
        <f t="shared" si="0"/>
        <v>2.5954899999999999</v>
      </c>
      <c r="I14" s="7" t="str">
        <f t="shared" si="7"/>
        <v>Subscription Revenues</v>
      </c>
      <c r="J14" s="10">
        <v>5</v>
      </c>
      <c r="K14" s="10">
        <v>5</v>
      </c>
      <c r="L14" s="10">
        <v>5</v>
      </c>
      <c r="M14" s="10">
        <v>5</v>
      </c>
      <c r="N14" s="120">
        <f t="shared" si="1"/>
        <v>20</v>
      </c>
      <c r="P14" s="7" t="str">
        <f t="shared" si="8"/>
        <v>Subscription Revenues</v>
      </c>
      <c r="Q14" s="10">
        <f t="shared" si="9"/>
        <v>-2.4258800000000003</v>
      </c>
      <c r="R14" s="10">
        <f t="shared" si="10"/>
        <v>-4.9786299999999999</v>
      </c>
      <c r="S14" s="10">
        <f t="shared" si="11"/>
        <v>-5</v>
      </c>
      <c r="T14" s="10">
        <f t="shared" si="12"/>
        <v>-5</v>
      </c>
      <c r="U14" s="21">
        <f t="shared" si="6"/>
        <v>-17.404510000000002</v>
      </c>
    </row>
    <row r="15" spans="2:21" ht="14.25" customHeight="1">
      <c r="B15" s="7" t="s">
        <v>88</v>
      </c>
      <c r="C15" s="10">
        <f>'Pacing - Monthly Inputs (actual'!P14</f>
        <v>0</v>
      </c>
      <c r="D15" s="10">
        <f>'Pacing - Monthly Inputs (actual'!Q14</f>
        <v>0</v>
      </c>
      <c r="E15" s="10">
        <f>'Pacing - Monthly Inputs (actual'!R14</f>
        <v>0</v>
      </c>
      <c r="F15" s="10">
        <f>'Pacing - Monthly Inputs (actual'!S14</f>
        <v>0</v>
      </c>
      <c r="G15" s="120">
        <f t="shared" si="0"/>
        <v>0</v>
      </c>
      <c r="I15" s="7" t="str">
        <f t="shared" si="7"/>
        <v>Trade</v>
      </c>
      <c r="J15" s="10">
        <f>'Pacing - Monthly Inputs (actual'!W14</f>
        <v>0</v>
      </c>
      <c r="K15" s="10">
        <f>'Pacing - Monthly Inputs (actual'!X14</f>
        <v>0</v>
      </c>
      <c r="L15" s="10">
        <f>'Pacing - Monthly Inputs (actual'!Y14</f>
        <v>0</v>
      </c>
      <c r="M15" s="10">
        <f>'Pacing - Monthly Inputs (actual'!Z14</f>
        <v>0</v>
      </c>
      <c r="N15" s="120">
        <f t="shared" si="1"/>
        <v>0</v>
      </c>
      <c r="P15" s="7" t="str">
        <f t="shared" si="8"/>
        <v>Trade</v>
      </c>
      <c r="Q15" s="10">
        <f t="shared" si="9"/>
        <v>0</v>
      </c>
      <c r="R15" s="10">
        <f t="shared" si="10"/>
        <v>0</v>
      </c>
      <c r="S15" s="10">
        <f t="shared" si="11"/>
        <v>0</v>
      </c>
      <c r="T15" s="10">
        <f t="shared" si="12"/>
        <v>0</v>
      </c>
      <c r="U15" s="21">
        <f t="shared" si="6"/>
        <v>0</v>
      </c>
    </row>
    <row r="16" spans="2:21" ht="14.25" customHeight="1">
      <c r="B16" s="7" t="s">
        <v>89</v>
      </c>
      <c r="C16" s="10">
        <f>'Pacing - Monthly Inputs (actual'!P15</f>
        <v>101.73600999999999</v>
      </c>
      <c r="D16" s="10">
        <f>'Pacing - Monthly Inputs (actual'!Q15</f>
        <v>154.30257</v>
      </c>
      <c r="E16" s="10">
        <f>'Pacing - Monthly Inputs (actual'!R15</f>
        <v>237.09506999999999</v>
      </c>
      <c r="F16" s="10">
        <f>'Pacing - Monthly Inputs (actual'!S15</f>
        <v>0</v>
      </c>
      <c r="G16" s="120">
        <f t="shared" si="0"/>
        <v>493.13364999999999</v>
      </c>
      <c r="I16" s="7" t="str">
        <f t="shared" si="7"/>
        <v>Other Revenues</v>
      </c>
      <c r="J16" s="10">
        <v>38.75</v>
      </c>
      <c r="K16" s="10">
        <v>38.75</v>
      </c>
      <c r="L16" s="10">
        <v>38.75</v>
      </c>
      <c r="M16" s="10">
        <v>38.75</v>
      </c>
      <c r="N16" s="120">
        <f t="shared" si="1"/>
        <v>155</v>
      </c>
      <c r="P16" s="7" t="str">
        <f t="shared" si="8"/>
        <v>Other Revenues</v>
      </c>
      <c r="Q16" s="10">
        <f t="shared" si="9"/>
        <v>62.986009999999993</v>
      </c>
      <c r="R16" s="10">
        <f t="shared" si="10"/>
        <v>115.55257</v>
      </c>
      <c r="S16" s="10">
        <f t="shared" si="11"/>
        <v>198.34506999999999</v>
      </c>
      <c r="T16" s="10">
        <f t="shared" si="12"/>
        <v>-38.75</v>
      </c>
      <c r="U16" s="21">
        <f t="shared" si="6"/>
        <v>338.13364999999999</v>
      </c>
    </row>
    <row r="17" spans="1:21" ht="14.25" customHeight="1">
      <c r="B17" s="11" t="s">
        <v>22</v>
      </c>
      <c r="C17" s="14">
        <f>SUM(C7:C16)</f>
        <v>7993.8983900000003</v>
      </c>
      <c r="D17" s="14">
        <f>SUM(D7:D16)</f>
        <v>8156.1595200000011</v>
      </c>
      <c r="E17" s="14">
        <f>SUM(E7:E16)</f>
        <v>8942.3971399999991</v>
      </c>
      <c r="F17" s="14">
        <f>SUM(F7:F16)</f>
        <v>5427.4890966666671</v>
      </c>
      <c r="G17" s="121">
        <f>SUM(G7:G16)</f>
        <v>30519.944146666669</v>
      </c>
      <c r="I17" s="11" t="s">
        <v>22</v>
      </c>
      <c r="J17" s="14">
        <f>SUM(J7:J16)</f>
        <v>7243.7838721390563</v>
      </c>
      <c r="K17" s="14">
        <f>SUM(K7:K16)</f>
        <v>7849.957046896945</v>
      </c>
      <c r="L17" s="14">
        <f>SUM(L7:L16)</f>
        <v>8343.0513775673899</v>
      </c>
      <c r="M17" s="14">
        <f>SUM(M7:M16)</f>
        <v>6229</v>
      </c>
      <c r="N17" s="121">
        <f>SUM(N7:N16)</f>
        <v>29665.792296603391</v>
      </c>
      <c r="P17" s="11" t="s">
        <v>22</v>
      </c>
      <c r="Q17" s="14">
        <f>SUM(Q7:Q16)</f>
        <v>750.11451786094358</v>
      </c>
      <c r="R17" s="14">
        <f>SUM(R7:R16)</f>
        <v>306.20247310305535</v>
      </c>
      <c r="S17" s="14">
        <f>SUM(S7:S16)</f>
        <v>599.34576243261029</v>
      </c>
      <c r="T17" s="14">
        <f>SUM(T7:T16)</f>
        <v>-801.51090333333354</v>
      </c>
      <c r="U17" s="14">
        <f>SUM(U7:U16)</f>
        <v>854.15185006327636</v>
      </c>
    </row>
    <row r="18" spans="1:21" ht="14.25" customHeight="1">
      <c r="G18" s="108"/>
      <c r="N18" s="108"/>
      <c r="U18" s="108"/>
    </row>
    <row r="19" spans="1:21" ht="14.25" customHeight="1">
      <c r="B19" s="7" t="s">
        <v>23</v>
      </c>
      <c r="C19" s="10">
        <f>'Pacing - Monthly Inputs (actual'!P18</f>
        <v>6999.9999933333329</v>
      </c>
      <c r="D19" s="10">
        <f>'Pacing - Monthly Inputs (actual'!Q18</f>
        <v>7000</v>
      </c>
      <c r="E19" s="10">
        <f>'Pacing - Monthly Inputs (actual'!R18</f>
        <v>6913.3605166666675</v>
      </c>
      <c r="F19" s="10">
        <f>'Pacing - Monthly Inputs (actual'!S18</f>
        <v>7000</v>
      </c>
      <c r="G19" s="120">
        <f>SUM(C19:F19)</f>
        <v>27913.360509999999</v>
      </c>
      <c r="I19" s="7" t="s">
        <v>23</v>
      </c>
      <c r="J19" s="10">
        <v>7000</v>
      </c>
      <c r="K19" s="10">
        <v>7000</v>
      </c>
      <c r="L19" s="10">
        <v>7000</v>
      </c>
      <c r="M19" s="10">
        <v>0</v>
      </c>
      <c r="N19" s="120">
        <f>SUM(J19:M19)</f>
        <v>21000</v>
      </c>
      <c r="P19" s="7" t="s">
        <v>23</v>
      </c>
      <c r="Q19" s="10">
        <f t="shared" ref="Q19" si="13">C19-J19</f>
        <v>-6.6666671045823023E-6</v>
      </c>
      <c r="R19" s="10">
        <f t="shared" ref="R19" si="14">D19-K19</f>
        <v>0</v>
      </c>
      <c r="S19" s="10">
        <f t="shared" ref="S19" si="15">E19-L19</f>
        <v>-86.639483333332464</v>
      </c>
      <c r="T19" s="10">
        <f t="shared" ref="T19" si="16">F19-M19</f>
        <v>7000</v>
      </c>
      <c r="U19" s="21">
        <f>SUM(Q19:T19)</f>
        <v>6913.3605100000004</v>
      </c>
    </row>
    <row r="20" spans="1:21" ht="14.25" customHeight="1">
      <c r="B20" s="11" t="s">
        <v>24</v>
      </c>
      <c r="C20" s="14">
        <f t="shared" ref="C20:G20" si="17">C17+C19</f>
        <v>14993.898383333333</v>
      </c>
      <c r="D20" s="14">
        <f t="shared" si="17"/>
        <v>15156.159520000001</v>
      </c>
      <c r="E20" s="14">
        <f t="shared" si="17"/>
        <v>15855.757656666667</v>
      </c>
      <c r="F20" s="14">
        <f t="shared" si="17"/>
        <v>12427.489096666668</v>
      </c>
      <c r="G20" s="121">
        <f t="shared" si="17"/>
        <v>58433.304656666667</v>
      </c>
      <c r="I20" s="11" t="s">
        <v>24</v>
      </c>
      <c r="J20" s="14">
        <f t="shared" ref="J20:N20" si="18">J17+J19</f>
        <v>14243.783872139056</v>
      </c>
      <c r="K20" s="14">
        <f t="shared" si="18"/>
        <v>14849.957046896945</v>
      </c>
      <c r="L20" s="14">
        <f t="shared" si="18"/>
        <v>15343.05137756739</v>
      </c>
      <c r="M20" s="14">
        <f t="shared" si="18"/>
        <v>6229</v>
      </c>
      <c r="N20" s="121">
        <f t="shared" si="18"/>
        <v>50665.792296603395</v>
      </c>
      <c r="P20" s="11" t="s">
        <v>24</v>
      </c>
      <c r="Q20" s="14">
        <f t="shared" ref="Q20:U20" si="19">Q17+Q19</f>
        <v>750.11451119427647</v>
      </c>
      <c r="R20" s="14">
        <f t="shared" si="19"/>
        <v>306.20247310305535</v>
      </c>
      <c r="S20" s="14">
        <f t="shared" si="19"/>
        <v>512.70627909927782</v>
      </c>
      <c r="T20" s="14">
        <f t="shared" si="19"/>
        <v>6198.4890966666662</v>
      </c>
      <c r="U20" s="14">
        <f t="shared" si="19"/>
        <v>7767.5123600632769</v>
      </c>
    </row>
    <row r="21" spans="1:21" ht="14.25" customHeight="1">
      <c r="D21" s="15"/>
      <c r="E21" s="27"/>
      <c r="F21" s="27"/>
      <c r="G21" s="15"/>
      <c r="K21" s="17"/>
      <c r="L21" s="15"/>
      <c r="R21" s="18"/>
    </row>
    <row r="22" spans="1:21" ht="14.25" customHeight="1">
      <c r="D22" s="15"/>
      <c r="E22" s="27"/>
      <c r="F22" s="27"/>
      <c r="G22" s="15"/>
      <c r="K22" s="17"/>
      <c r="L22" s="15"/>
      <c r="R22" s="18"/>
    </row>
    <row r="23" spans="1:21" ht="14.25" customHeight="1"/>
    <row r="24" spans="1:21" ht="14.25" customHeight="1"/>
    <row r="25" spans="1:21" ht="14.25" customHeight="1">
      <c r="B25" s="330" t="s">
        <v>111</v>
      </c>
      <c r="C25" s="330"/>
      <c r="D25" s="330"/>
      <c r="E25" s="330"/>
      <c r="F25" s="330"/>
      <c r="G25" s="330"/>
      <c r="I25" s="330" t="s">
        <v>26</v>
      </c>
      <c r="J25" s="328"/>
      <c r="K25" s="328"/>
      <c r="L25" s="328"/>
      <c r="M25" s="328"/>
      <c r="N25" s="328"/>
      <c r="P25" s="330" t="s">
        <v>27</v>
      </c>
      <c r="Q25" s="328"/>
      <c r="R25" s="328"/>
      <c r="S25" s="328"/>
      <c r="T25" s="328"/>
      <c r="U25" s="328"/>
    </row>
    <row r="26" spans="1:21" ht="14.25" customHeight="1">
      <c r="B26" s="5"/>
      <c r="C26" s="26" t="s">
        <v>6</v>
      </c>
      <c r="D26" s="22" t="s">
        <v>7</v>
      </c>
      <c r="E26" s="22" t="s">
        <v>8</v>
      </c>
      <c r="F26" s="22" t="s">
        <v>9</v>
      </c>
      <c r="G26" s="23" t="s">
        <v>28</v>
      </c>
      <c r="I26" s="5"/>
      <c r="J26" s="26" t="s">
        <v>6</v>
      </c>
      <c r="K26" s="22" t="s">
        <v>7</v>
      </c>
      <c r="L26" s="22" t="s">
        <v>8</v>
      </c>
      <c r="M26" s="22" t="s">
        <v>9</v>
      </c>
      <c r="N26" s="23" t="s">
        <v>28</v>
      </c>
      <c r="P26" s="5"/>
      <c r="Q26" s="26" t="s">
        <v>6</v>
      </c>
      <c r="R26" s="22" t="s">
        <v>7</v>
      </c>
      <c r="S26" s="22" t="s">
        <v>8</v>
      </c>
      <c r="T26" s="22" t="s">
        <v>9</v>
      </c>
      <c r="U26" s="23" t="s">
        <v>28</v>
      </c>
    </row>
    <row r="27" spans="1:21" ht="14.25" customHeight="1">
      <c r="B27" t="s">
        <v>113</v>
      </c>
      <c r="C27" s="131">
        <f>SUM(C7:C9)+SUM(C12:C16)</f>
        <v>5821.8355899999997</v>
      </c>
      <c r="D27" s="131">
        <f>SUM(D7:D9)+SUM(D12:D16)</f>
        <v>5438.3122899999998</v>
      </c>
      <c r="E27" s="131">
        <f>SUM(E7:E9)+SUM(E12:E16)</f>
        <v>6659.0151700000006</v>
      </c>
      <c r="F27" s="131">
        <f>SUM(F7:F9)+SUM(F12:F16)</f>
        <v>5168.46119</v>
      </c>
      <c r="G27" s="133">
        <f>SUM(G7:G9)+SUM(G12:G16)</f>
        <v>23087.624240000001</v>
      </c>
      <c r="I27" t="s">
        <v>113</v>
      </c>
      <c r="J27" s="131">
        <f>SUM(J7:J9)+SUM(J12:J16)</f>
        <v>5269.2776921390569</v>
      </c>
      <c r="K27" s="131">
        <f>SUM(K7:K9)+SUM(K12:K16)</f>
        <v>5478.7587481064147</v>
      </c>
      <c r="L27" s="131">
        <f>SUM(L7:L9)+SUM(L12:L16)</f>
        <v>5812.74081756739</v>
      </c>
      <c r="M27" s="131">
        <f>SUM(M7:M9)+SUM(M12:M16)</f>
        <v>5029</v>
      </c>
      <c r="N27" s="133">
        <f>SUM(N7:N9)+SUM(N12:N16)</f>
        <v>21589.777257812861</v>
      </c>
      <c r="P27" t="s">
        <v>113</v>
      </c>
      <c r="Q27" s="131">
        <f>SUM(Q7:Q9)+SUM(Q12:Q16)</f>
        <v>552.55789786094329</v>
      </c>
      <c r="R27" s="131">
        <f>SUM(R7:R9)+SUM(R12:R16)</f>
        <v>-40.446458106414866</v>
      </c>
      <c r="S27" s="131">
        <f>SUM(S7:S9)+SUM(S12:S16)</f>
        <v>846.27435243261027</v>
      </c>
      <c r="T27" s="131">
        <f>SUM(T7:T9)+SUM(T12:T16)</f>
        <v>139.46118999999982</v>
      </c>
      <c r="U27" s="133">
        <f>SUM(U7:U9)+SUM(U12:U16)</f>
        <v>1497.846982187139</v>
      </c>
    </row>
    <row r="28" spans="1:21" ht="14.25" customHeight="1">
      <c r="B28" t="s">
        <v>112</v>
      </c>
      <c r="C28" s="131">
        <f>SUM(C10:C11)</f>
        <v>2172.0628000000002</v>
      </c>
      <c r="D28" s="131">
        <f>SUM(D10:D11)</f>
        <v>2717.8472299999999</v>
      </c>
      <c r="E28" s="131">
        <f>SUM(E10:E11)</f>
        <v>2283.3819699999999</v>
      </c>
      <c r="F28" s="131">
        <f>SUM(F10:F11)</f>
        <v>259.02790666666669</v>
      </c>
      <c r="G28" s="133">
        <f>SUM(G10:G11)</f>
        <v>7432.3199066666675</v>
      </c>
      <c r="I28" t="s">
        <v>112</v>
      </c>
      <c r="J28" s="131">
        <f>SUM(J10:J11)</f>
        <v>1974.5061799999999</v>
      </c>
      <c r="K28" s="131">
        <f>SUM(K10:K11)</f>
        <v>2371.1982987905299</v>
      </c>
      <c r="L28" s="131">
        <f>SUM(L10:L11)</f>
        <v>2530.3105599999999</v>
      </c>
      <c r="M28" s="131">
        <f>SUM(M10:M11)</f>
        <v>1200</v>
      </c>
      <c r="N28" s="133">
        <f>SUM(N10:N11)</f>
        <v>8076.0150387905296</v>
      </c>
      <c r="P28" t="s">
        <v>112</v>
      </c>
      <c r="Q28" s="131">
        <f>SUM(Q10:Q11)</f>
        <v>197.55662000000029</v>
      </c>
      <c r="R28" s="131">
        <f>SUM(R10:R11)</f>
        <v>346.64893120946999</v>
      </c>
      <c r="S28" s="131">
        <f>SUM(S10:S11)</f>
        <v>-246.92858999999999</v>
      </c>
      <c r="T28" s="131">
        <f>SUM(T10:T11)</f>
        <v>-940.97209333333342</v>
      </c>
      <c r="U28" s="133">
        <f>SUM(U10:U11)</f>
        <v>-643.69513212386209</v>
      </c>
    </row>
    <row r="29" spans="1:21" ht="14.25" customHeight="1">
      <c r="B29" s="11" t="s">
        <v>22</v>
      </c>
      <c r="C29" s="146">
        <f>C27+C28</f>
        <v>7993.8983900000003</v>
      </c>
      <c r="D29" s="146">
        <f t="shared" ref="D29:G29" si="20">D27+D28</f>
        <v>8156.1595199999992</v>
      </c>
      <c r="E29" s="146">
        <f t="shared" si="20"/>
        <v>8942.3971400000009</v>
      </c>
      <c r="F29" s="146">
        <f t="shared" si="20"/>
        <v>5427.4890966666662</v>
      </c>
      <c r="G29" s="146">
        <f t="shared" si="20"/>
        <v>30519.944146666669</v>
      </c>
      <c r="I29" s="11" t="s">
        <v>22</v>
      </c>
      <c r="J29" s="146">
        <f>J27+J28</f>
        <v>7243.7838721390563</v>
      </c>
      <c r="K29" s="146">
        <f t="shared" ref="K29" si="21">K27+K28</f>
        <v>7849.957046896945</v>
      </c>
      <c r="L29" s="146">
        <f t="shared" ref="L29" si="22">L27+L28</f>
        <v>8343.0513775673899</v>
      </c>
      <c r="M29" s="146">
        <f t="shared" ref="M29" si="23">M27+M28</f>
        <v>6229</v>
      </c>
      <c r="N29" s="146">
        <f t="shared" ref="N29" si="24">N27+N28</f>
        <v>29665.792296603391</v>
      </c>
      <c r="P29" s="11" t="s">
        <v>22</v>
      </c>
      <c r="Q29" s="146">
        <f>Q27+Q28</f>
        <v>750.11451786094358</v>
      </c>
      <c r="R29" s="146">
        <f t="shared" ref="R29" si="25">R27+R28</f>
        <v>306.20247310305513</v>
      </c>
      <c r="S29" s="146">
        <f t="shared" ref="S29" si="26">S27+S28</f>
        <v>599.34576243261029</v>
      </c>
      <c r="T29" s="146">
        <f t="shared" ref="T29" si="27">T27+T28</f>
        <v>-801.51090333333354</v>
      </c>
      <c r="U29" s="146">
        <f t="shared" ref="U29" si="28">U27+U28</f>
        <v>854.15185006327692</v>
      </c>
    </row>
    <row r="30" spans="1:21" ht="14.25" customHeight="1">
      <c r="A30" s="64"/>
    </row>
    <row r="31" spans="1:21" ht="14.25" customHeight="1"/>
    <row r="32" spans="1:21" ht="14.25" customHeight="1"/>
    <row r="33" spans="1:1" ht="14.25" customHeight="1"/>
    <row r="34" spans="1:1" ht="14.25" customHeight="1"/>
    <row r="35" spans="1:1" ht="14.25" customHeight="1"/>
    <row r="36" spans="1:1" ht="14.25" customHeight="1"/>
    <row r="37" spans="1:1" ht="14.25" customHeight="1"/>
    <row r="38" spans="1:1" ht="14.25" customHeight="1"/>
    <row r="39" spans="1:1" ht="14.25" customHeight="1"/>
    <row r="40" spans="1:1" ht="14.25" customHeight="1">
      <c r="A40" s="154" t="s">
        <v>30</v>
      </c>
    </row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mergeCells count="10">
    <mergeCell ref="B25:G25"/>
    <mergeCell ref="I25:N25"/>
    <mergeCell ref="P25:U25"/>
    <mergeCell ref="B2:U2"/>
    <mergeCell ref="B4:G4"/>
    <mergeCell ref="I4:N4"/>
    <mergeCell ref="P4:U4"/>
    <mergeCell ref="B5:G5"/>
    <mergeCell ref="I5:N5"/>
    <mergeCell ref="P5:U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54"/>
  <sheetViews>
    <sheetView showGridLines="0" topLeftCell="A10" zoomScale="85" zoomScaleNormal="85" zoomScaleSheetLayoutView="130" workbookViewId="0">
      <selection activeCell="E51" sqref="E51"/>
    </sheetView>
  </sheetViews>
  <sheetFormatPr defaultColWidth="14.42578125" defaultRowHeight="15" customHeight="1" outlineLevelRow="1"/>
  <cols>
    <col min="1" max="1" width="12.85546875" customWidth="1"/>
    <col min="2" max="2" width="37.85546875" customWidth="1"/>
    <col min="3" max="14" width="14.28515625" customWidth="1"/>
    <col min="15" max="15" width="2.28515625" customWidth="1"/>
    <col min="16" max="20" width="13.28515625" customWidth="1"/>
    <col min="21" max="21" width="10.5703125" bestFit="1" customWidth="1"/>
    <col min="22" max="23" width="3" customWidth="1"/>
  </cols>
  <sheetData>
    <row r="1" spans="1:21" ht="8.25" customHeight="1"/>
    <row r="2" spans="1:21" ht="8.25" customHeight="1"/>
    <row r="3" spans="1:21" s="79" customFormat="1" ht="15" customHeight="1">
      <c r="A3" s="75" t="s">
        <v>114</v>
      </c>
      <c r="B3" s="76" t="s">
        <v>33</v>
      </c>
      <c r="C3" s="77">
        <v>2025</v>
      </c>
      <c r="D3" s="77">
        <v>2025</v>
      </c>
      <c r="E3" s="77">
        <v>2025</v>
      </c>
      <c r="F3" s="77">
        <v>2025</v>
      </c>
      <c r="G3" s="77">
        <v>2025</v>
      </c>
      <c r="H3" s="77">
        <v>2025</v>
      </c>
      <c r="I3" s="77">
        <v>2025</v>
      </c>
      <c r="J3" s="77">
        <v>2025</v>
      </c>
      <c r="K3" s="77">
        <v>2025</v>
      </c>
      <c r="L3" s="77">
        <v>2026</v>
      </c>
      <c r="M3" s="77">
        <v>2026</v>
      </c>
      <c r="N3" s="77">
        <v>2026</v>
      </c>
      <c r="O3" s="78"/>
      <c r="P3" s="77">
        <v>2025</v>
      </c>
      <c r="Q3" s="77">
        <v>2025</v>
      </c>
      <c r="R3" s="77">
        <v>2025</v>
      </c>
      <c r="S3" s="77">
        <v>2026</v>
      </c>
      <c r="T3" s="78"/>
      <c r="U3" s="78"/>
    </row>
    <row r="4" spans="1:21" s="79" customFormat="1" ht="14.25" customHeight="1" thickBot="1">
      <c r="A4" s="78"/>
      <c r="B4" s="333" t="s">
        <v>34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78"/>
    </row>
    <row r="5" spans="1:21" s="79" customFormat="1" ht="14.25" customHeight="1" thickTop="1">
      <c r="A5" s="78"/>
      <c r="B5" s="80"/>
      <c r="C5" s="81" t="s">
        <v>37</v>
      </c>
      <c r="D5" s="82" t="s">
        <v>38</v>
      </c>
      <c r="E5" s="82" t="s">
        <v>39</v>
      </c>
      <c r="F5" s="82" t="s">
        <v>40</v>
      </c>
      <c r="G5" s="82" t="s">
        <v>41</v>
      </c>
      <c r="H5" s="82" t="s">
        <v>42</v>
      </c>
      <c r="I5" s="82" t="s">
        <v>43</v>
      </c>
      <c r="J5" s="82" t="s">
        <v>44</v>
      </c>
      <c r="K5" s="82" t="s">
        <v>45</v>
      </c>
      <c r="L5" s="82" t="s">
        <v>46</v>
      </c>
      <c r="M5" s="82" t="s">
        <v>47</v>
      </c>
      <c r="N5" s="82" t="s">
        <v>48</v>
      </c>
      <c r="O5" s="82" t="s">
        <v>49</v>
      </c>
      <c r="P5" s="82" t="s">
        <v>6</v>
      </c>
      <c r="Q5" s="82" t="s">
        <v>7</v>
      </c>
      <c r="R5" s="82" t="s">
        <v>8</v>
      </c>
      <c r="S5" s="82" t="s">
        <v>9</v>
      </c>
      <c r="T5" s="83" t="s">
        <v>115</v>
      </c>
      <c r="U5" s="78"/>
    </row>
    <row r="6" spans="1:21" s="79" customFormat="1" ht="14.25" customHeight="1">
      <c r="A6" s="78"/>
      <c r="B6" s="78" t="s">
        <v>82</v>
      </c>
      <c r="C6" s="155">
        <f t="shared" ref="C6:M6" si="0">C28/1000</f>
        <v>1497.75774</v>
      </c>
      <c r="D6" s="155">
        <f t="shared" si="0"/>
        <v>1562.0134100000002</v>
      </c>
      <c r="E6" s="155">
        <f t="shared" si="0"/>
        <v>1691.9395500000001</v>
      </c>
      <c r="F6" s="155">
        <f t="shared" si="0"/>
        <v>1282.4771699999999</v>
      </c>
      <c r="G6" s="155">
        <f t="shared" si="0"/>
        <v>1553.7131100000001</v>
      </c>
      <c r="H6" s="84">
        <f t="shared" si="0"/>
        <v>1513.7590299999997</v>
      </c>
      <c r="I6" s="84">
        <f t="shared" si="0"/>
        <v>1709.74388</v>
      </c>
      <c r="J6" s="84">
        <f t="shared" si="0"/>
        <v>2104.7190399999999</v>
      </c>
      <c r="K6" s="84">
        <f t="shared" si="0"/>
        <v>1600.2113300000001</v>
      </c>
      <c r="L6" s="84">
        <f t="shared" si="0"/>
        <v>1564.5506499999999</v>
      </c>
      <c r="M6" s="84">
        <f t="shared" si="0"/>
        <v>1430.7044099999998</v>
      </c>
      <c r="N6" s="84">
        <f t="shared" ref="N6" si="1">N28/1000</f>
        <v>1361.9121399999999</v>
      </c>
      <c r="O6" s="85"/>
      <c r="P6" s="84">
        <f t="shared" ref="P6:P13" si="2">SUM(C6:E6)</f>
        <v>4751.7107000000005</v>
      </c>
      <c r="Q6" s="84">
        <f t="shared" ref="Q6:Q13" si="3">SUM(F6:H6)</f>
        <v>4349.94931</v>
      </c>
      <c r="R6" s="84">
        <f t="shared" ref="R6:R13" si="4">SUM(I6:K6)</f>
        <v>5414.67425</v>
      </c>
      <c r="S6" s="84">
        <f t="shared" ref="S6:S13" si="5">SUM(L6:N6)</f>
        <v>4357.1671999999999</v>
      </c>
      <c r="T6" s="84">
        <f t="shared" ref="T6:T13" si="6">SUM(P6:S6)</f>
        <v>18873.501459999999</v>
      </c>
      <c r="U6" s="78"/>
    </row>
    <row r="7" spans="1:21" s="79" customFormat="1" ht="14.25" customHeight="1">
      <c r="A7" s="78"/>
      <c r="B7" s="78" t="s">
        <v>83</v>
      </c>
      <c r="C7" s="155">
        <f t="shared" ref="C7:M7" si="7">C29/1000</f>
        <v>152.3014</v>
      </c>
      <c r="D7" s="155">
        <f t="shared" si="7"/>
        <v>145.69114999999999</v>
      </c>
      <c r="E7" s="155">
        <f t="shared" si="7"/>
        <v>138.82917999999998</v>
      </c>
      <c r="F7" s="155">
        <f t="shared" si="7"/>
        <v>106.07033</v>
      </c>
      <c r="G7" s="155">
        <f t="shared" si="7"/>
        <v>118.72002999999999</v>
      </c>
      <c r="H7" s="84">
        <f t="shared" si="7"/>
        <v>214.30029000000002</v>
      </c>
      <c r="I7" s="84">
        <f t="shared" si="7"/>
        <v>176.01304999999999</v>
      </c>
      <c r="J7" s="84">
        <f t="shared" si="7"/>
        <v>209.4828</v>
      </c>
      <c r="K7" s="84">
        <f t="shared" si="7"/>
        <v>206.21814000000001</v>
      </c>
      <c r="L7" s="84">
        <f t="shared" si="7"/>
        <v>188.58407</v>
      </c>
      <c r="M7" s="84">
        <f t="shared" si="7"/>
        <v>171.80670000000001</v>
      </c>
      <c r="N7" s="84">
        <f t="shared" ref="N7" si="8">N29/1000</f>
        <v>180.44142000000002</v>
      </c>
      <c r="O7" s="78"/>
      <c r="P7" s="84">
        <f t="shared" si="2"/>
        <v>436.82173</v>
      </c>
      <c r="Q7" s="84">
        <f t="shared" si="3"/>
        <v>439.09064999999998</v>
      </c>
      <c r="R7" s="84">
        <f t="shared" si="4"/>
        <v>591.71398999999997</v>
      </c>
      <c r="S7" s="84">
        <f t="shared" si="5"/>
        <v>540.83218999999997</v>
      </c>
      <c r="T7" s="84">
        <f t="shared" si="6"/>
        <v>2008.45856</v>
      </c>
      <c r="U7" s="78"/>
    </row>
    <row r="8" spans="1:21" s="79" customFormat="1" ht="14.25" customHeight="1">
      <c r="A8" s="78"/>
      <c r="B8" s="78" t="s">
        <v>84</v>
      </c>
      <c r="C8" s="155">
        <f t="shared" ref="C8:M8" si="9">C30/1000</f>
        <v>63.65</v>
      </c>
      <c r="D8" s="155">
        <f t="shared" si="9"/>
        <v>58</v>
      </c>
      <c r="E8" s="155">
        <f t="shared" si="9"/>
        <v>68</v>
      </c>
      <c r="F8" s="155">
        <f t="shared" si="9"/>
        <v>47</v>
      </c>
      <c r="G8" s="155">
        <f t="shared" si="9"/>
        <v>35</v>
      </c>
      <c r="H8" s="84">
        <f t="shared" si="9"/>
        <v>15</v>
      </c>
      <c r="I8" s="84">
        <f t="shared" si="9"/>
        <v>22</v>
      </c>
      <c r="J8" s="84">
        <f t="shared" si="9"/>
        <v>4</v>
      </c>
      <c r="K8" s="84">
        <f t="shared" si="9"/>
        <v>15</v>
      </c>
      <c r="L8" s="84">
        <f t="shared" si="9"/>
        <v>35.625</v>
      </c>
      <c r="M8" s="84">
        <f t="shared" si="9"/>
        <v>124</v>
      </c>
      <c r="N8" s="84">
        <f t="shared" ref="N8" si="10">N30/1000</f>
        <v>0</v>
      </c>
      <c r="O8" s="78"/>
      <c r="P8" s="84">
        <f t="shared" si="2"/>
        <v>189.65</v>
      </c>
      <c r="Q8" s="84">
        <f t="shared" si="3"/>
        <v>97</v>
      </c>
      <c r="R8" s="84">
        <f t="shared" si="4"/>
        <v>41</v>
      </c>
      <c r="S8" s="84">
        <f t="shared" si="5"/>
        <v>159.625</v>
      </c>
      <c r="T8" s="84">
        <f t="shared" si="6"/>
        <v>487.27499999999998</v>
      </c>
      <c r="U8" s="78"/>
    </row>
    <row r="9" spans="1:21" s="79" customFormat="1" ht="14.25" customHeight="1">
      <c r="A9" s="78"/>
      <c r="B9" s="78" t="s">
        <v>79</v>
      </c>
      <c r="C9" s="155">
        <f t="shared" ref="C9:M9" si="11">C31/1000</f>
        <v>85.019869999999997</v>
      </c>
      <c r="D9" s="155">
        <f t="shared" si="11"/>
        <v>79.655119999999997</v>
      </c>
      <c r="E9" s="155">
        <f t="shared" si="11"/>
        <v>162.66363999999999</v>
      </c>
      <c r="F9" s="155">
        <f>F31/1000</f>
        <v>198.94</v>
      </c>
      <c r="G9" s="155">
        <f t="shared" si="11"/>
        <v>158.42121</v>
      </c>
      <c r="H9" s="84">
        <f t="shared" si="11"/>
        <v>155.04848000000001</v>
      </c>
      <c r="I9" s="84">
        <f t="shared" si="11"/>
        <v>117.23828999999999</v>
      </c>
      <c r="J9" s="84">
        <f t="shared" si="11"/>
        <v>130.92886000000001</v>
      </c>
      <c r="K9" s="84">
        <f t="shared" si="11"/>
        <v>194.0804</v>
      </c>
      <c r="L9" s="84">
        <f t="shared" si="11"/>
        <v>91.169939999999983</v>
      </c>
      <c r="M9" s="84">
        <f t="shared" si="11"/>
        <v>28.025439999999996</v>
      </c>
      <c r="N9" s="84">
        <f t="shared" ref="N9" si="12">N31/1000</f>
        <v>0</v>
      </c>
      <c r="O9" s="78"/>
      <c r="P9" s="84">
        <f t="shared" si="2"/>
        <v>327.33862999999997</v>
      </c>
      <c r="Q9" s="84">
        <f>SUM(F9:H9)</f>
        <v>512.40969000000007</v>
      </c>
      <c r="R9" s="84">
        <f t="shared" si="4"/>
        <v>442.24754999999999</v>
      </c>
      <c r="S9" s="84">
        <f t="shared" si="5"/>
        <v>119.19537999999997</v>
      </c>
      <c r="T9" s="84">
        <f t="shared" si="6"/>
        <v>1401.1912499999999</v>
      </c>
      <c r="U9" s="78"/>
    </row>
    <row r="10" spans="1:21" s="79" customFormat="1" ht="14.25" customHeight="1">
      <c r="A10" s="78"/>
      <c r="B10" s="78" t="s">
        <v>85</v>
      </c>
      <c r="C10" s="155">
        <f t="shared" ref="C10:M10" si="13">C32/1000</f>
        <v>509.27201000000002</v>
      </c>
      <c r="D10" s="155">
        <f t="shared" si="13"/>
        <v>536.66903000000002</v>
      </c>
      <c r="E10" s="155">
        <f t="shared" si="13"/>
        <v>798.78313000000003</v>
      </c>
      <c r="F10" s="155">
        <f t="shared" si="13"/>
        <v>656.47696999999994</v>
      </c>
      <c r="G10" s="155">
        <f t="shared" si="13"/>
        <v>709.35746999999992</v>
      </c>
      <c r="H10" s="84">
        <f t="shared" si="13"/>
        <v>839.60309999999993</v>
      </c>
      <c r="I10" s="84">
        <f t="shared" si="13"/>
        <v>593.17786000000001</v>
      </c>
      <c r="J10" s="84">
        <f t="shared" si="13"/>
        <v>727.53701999999998</v>
      </c>
      <c r="K10" s="84">
        <f t="shared" si="13"/>
        <v>520.41953999999998</v>
      </c>
      <c r="L10" s="84">
        <f t="shared" si="13"/>
        <v>96.456836666666675</v>
      </c>
      <c r="M10" s="84">
        <f t="shared" si="13"/>
        <v>43.375690000000006</v>
      </c>
      <c r="N10" s="84">
        <f t="shared" ref="N10" si="14">N32/1000</f>
        <v>0</v>
      </c>
      <c r="O10" s="78"/>
      <c r="P10" s="84">
        <f t="shared" si="2"/>
        <v>1844.7241700000002</v>
      </c>
      <c r="Q10" s="84">
        <f t="shared" si="3"/>
        <v>2205.4375399999999</v>
      </c>
      <c r="R10" s="84">
        <f t="shared" si="4"/>
        <v>1841.1344199999999</v>
      </c>
      <c r="S10" s="84">
        <f t="shared" si="5"/>
        <v>139.83252666666669</v>
      </c>
      <c r="T10" s="84">
        <f t="shared" si="6"/>
        <v>6031.1286566666677</v>
      </c>
      <c r="U10" s="78"/>
    </row>
    <row r="11" spans="1:21" s="79" customFormat="1" ht="14.25" customHeight="1">
      <c r="A11" s="78"/>
      <c r="B11" s="78" t="s">
        <v>29</v>
      </c>
      <c r="C11" s="155">
        <f t="shared" ref="C11:M11" si="15">C33/1000</f>
        <v>68.119839999999996</v>
      </c>
      <c r="D11" s="155">
        <f t="shared" si="15"/>
        <v>62.89096</v>
      </c>
      <c r="E11" s="155">
        <f>E33/1000</f>
        <v>195.83222999999992</v>
      </c>
      <c r="F11" s="155">
        <f t="shared" si="15"/>
        <v>108.07525</v>
      </c>
      <c r="G11" s="155">
        <f t="shared" si="15"/>
        <v>115.10301</v>
      </c>
      <c r="H11" s="84">
        <f t="shared" si="15"/>
        <v>117.02013000000001</v>
      </c>
      <c r="I11" s="84">
        <f t="shared" si="15"/>
        <v>125.97655</v>
      </c>
      <c r="J11" s="84">
        <f t="shared" si="15"/>
        <v>119.96869000000001</v>
      </c>
      <c r="K11" s="215">
        <f>K33/1000</f>
        <v>112.08662</v>
      </c>
      <c r="L11" s="84">
        <f t="shared" si="15"/>
        <v>97.086799999999997</v>
      </c>
      <c r="M11" s="84">
        <f t="shared" si="15"/>
        <v>0</v>
      </c>
      <c r="N11" s="84">
        <f t="shared" ref="N11" si="16">N33/1000</f>
        <v>0</v>
      </c>
      <c r="O11" s="78"/>
      <c r="P11" s="84">
        <f t="shared" si="2"/>
        <v>326.84302999999989</v>
      </c>
      <c r="Q11" s="84">
        <f t="shared" si="3"/>
        <v>340.19839000000002</v>
      </c>
      <c r="R11" s="84">
        <f>SUM(I11:K11)</f>
        <v>358.03185999999999</v>
      </c>
      <c r="S11" s="84">
        <f t="shared" si="5"/>
        <v>97.086799999999997</v>
      </c>
      <c r="T11" s="84">
        <f t="shared" si="6"/>
        <v>1122.1600799999999</v>
      </c>
      <c r="U11" s="78"/>
    </row>
    <row r="12" spans="1:21" s="79" customFormat="1" ht="14.25" customHeight="1">
      <c r="A12" s="78"/>
      <c r="B12" s="78" t="s">
        <v>86</v>
      </c>
      <c r="C12" s="155">
        <f t="shared" ref="C12:M12" si="17">C34/1000</f>
        <v>1.5</v>
      </c>
      <c r="D12" s="155">
        <f t="shared" si="17"/>
        <v>0</v>
      </c>
      <c r="E12" s="155">
        <f t="shared" si="17"/>
        <v>11</v>
      </c>
      <c r="F12" s="155">
        <f t="shared" si="17"/>
        <v>35.75</v>
      </c>
      <c r="G12" s="155">
        <f t="shared" si="17"/>
        <v>11</v>
      </c>
      <c r="H12" s="84">
        <f t="shared" si="17"/>
        <v>11</v>
      </c>
      <c r="I12" s="84">
        <f t="shared" si="17"/>
        <v>0</v>
      </c>
      <c r="J12" s="84">
        <f t="shared" si="17"/>
        <v>8.25</v>
      </c>
      <c r="K12" s="84">
        <f>K34/1000</f>
        <v>8.25</v>
      </c>
      <c r="L12" s="84">
        <f t="shared" si="17"/>
        <v>13.75</v>
      </c>
      <c r="M12" s="84">
        <f t="shared" si="17"/>
        <v>0</v>
      </c>
      <c r="N12" s="84">
        <f t="shared" ref="N12" si="18">N34/1000</f>
        <v>0</v>
      </c>
      <c r="O12" s="78"/>
      <c r="P12" s="84">
        <f t="shared" si="2"/>
        <v>12.5</v>
      </c>
      <c r="Q12" s="84">
        <f t="shared" si="3"/>
        <v>57.75</v>
      </c>
      <c r="R12" s="84">
        <f t="shared" si="4"/>
        <v>16.5</v>
      </c>
      <c r="S12" s="84">
        <f t="shared" si="5"/>
        <v>13.75</v>
      </c>
      <c r="T12" s="84">
        <f t="shared" si="6"/>
        <v>100.5</v>
      </c>
      <c r="U12" s="78"/>
    </row>
    <row r="13" spans="1:21" s="79" customFormat="1" ht="14.25" customHeight="1">
      <c r="A13" s="78"/>
      <c r="B13" s="78" t="s">
        <v>87</v>
      </c>
      <c r="C13" s="155">
        <f t="shared" ref="C13:M13" si="19">C35/1000</f>
        <v>1.32247</v>
      </c>
      <c r="D13" s="155">
        <f t="shared" si="19"/>
        <v>1.11527</v>
      </c>
      <c r="E13" s="155">
        <f t="shared" si="19"/>
        <v>0.13638</v>
      </c>
      <c r="F13" s="155">
        <f t="shared" si="19"/>
        <v>2.137E-2</v>
      </c>
      <c r="G13" s="155">
        <f t="shared" si="19"/>
        <v>0</v>
      </c>
      <c r="H13" s="84">
        <f t="shared" si="19"/>
        <v>0</v>
      </c>
      <c r="I13" s="84">
        <f t="shared" si="19"/>
        <v>0</v>
      </c>
      <c r="J13" s="84">
        <f t="shared" si="19"/>
        <v>0</v>
      </c>
      <c r="K13" s="84">
        <f>K35/1000</f>
        <v>0</v>
      </c>
      <c r="L13" s="84">
        <f t="shared" si="19"/>
        <v>0</v>
      </c>
      <c r="M13" s="84">
        <f t="shared" si="19"/>
        <v>0</v>
      </c>
      <c r="N13" s="84">
        <f t="shared" ref="N13" si="20">N35/1000</f>
        <v>0</v>
      </c>
      <c r="O13" s="78"/>
      <c r="P13" s="84">
        <f t="shared" si="2"/>
        <v>2.5741199999999997</v>
      </c>
      <c r="Q13" s="84">
        <f t="shared" si="3"/>
        <v>2.137E-2</v>
      </c>
      <c r="R13" s="84">
        <f t="shared" si="4"/>
        <v>0</v>
      </c>
      <c r="S13" s="84">
        <f t="shared" si="5"/>
        <v>0</v>
      </c>
      <c r="T13" s="84">
        <f t="shared" si="6"/>
        <v>2.5954899999999999</v>
      </c>
      <c r="U13" s="78"/>
    </row>
    <row r="14" spans="1:21" s="79" customFormat="1" ht="14.25" customHeight="1">
      <c r="A14" s="78"/>
      <c r="B14" s="78" t="s">
        <v>88</v>
      </c>
      <c r="C14" s="155">
        <f t="shared" ref="C14:M14" si="21">C36/1000</f>
        <v>0</v>
      </c>
      <c r="D14" s="155">
        <f t="shared" si="21"/>
        <v>0</v>
      </c>
      <c r="E14" s="155">
        <f t="shared" si="21"/>
        <v>0</v>
      </c>
      <c r="F14" s="155">
        <f t="shared" si="21"/>
        <v>0</v>
      </c>
      <c r="G14" s="155">
        <f t="shared" si="21"/>
        <v>0</v>
      </c>
      <c r="H14" s="84">
        <f t="shared" si="21"/>
        <v>0</v>
      </c>
      <c r="I14" s="84">
        <f t="shared" si="21"/>
        <v>0</v>
      </c>
      <c r="J14" s="84">
        <f t="shared" si="21"/>
        <v>0</v>
      </c>
      <c r="K14" s="84">
        <f>K36/1000</f>
        <v>0</v>
      </c>
      <c r="L14" s="84">
        <f t="shared" si="21"/>
        <v>0</v>
      </c>
      <c r="M14" s="84">
        <f t="shared" si="21"/>
        <v>0</v>
      </c>
      <c r="N14" s="84">
        <f t="shared" ref="N14" si="22">N36/1000</f>
        <v>0</v>
      </c>
      <c r="O14" s="78"/>
      <c r="P14" s="84">
        <f t="shared" ref="P14:P15" si="23">SUM(C14:E14)</f>
        <v>0</v>
      </c>
      <c r="Q14" s="84">
        <f t="shared" ref="Q14:Q15" si="24">SUM(F14:H14)</f>
        <v>0</v>
      </c>
      <c r="R14" s="84">
        <f t="shared" ref="R14:R15" si="25">SUM(I14:K14)</f>
        <v>0</v>
      </c>
      <c r="S14" s="84">
        <f t="shared" ref="S14:S15" si="26">SUM(L14:N14)</f>
        <v>0</v>
      </c>
      <c r="T14" s="84">
        <f t="shared" ref="T14:T15" si="27">SUM(P14:S14)</f>
        <v>0</v>
      </c>
      <c r="U14" s="78"/>
    </row>
    <row r="15" spans="1:21" s="79" customFormat="1" ht="14.25" customHeight="1">
      <c r="A15" s="78"/>
      <c r="B15" s="78" t="s">
        <v>89</v>
      </c>
      <c r="C15" s="155">
        <f t="shared" ref="C15:M15" si="28">C37/1000</f>
        <v>30.251660000000001</v>
      </c>
      <c r="D15" s="155">
        <f t="shared" si="28"/>
        <v>28.956720000000001</v>
      </c>
      <c r="E15" s="155">
        <f t="shared" si="28"/>
        <v>42.527629999999995</v>
      </c>
      <c r="F15" s="155">
        <f t="shared" si="28"/>
        <v>48.896850000000001</v>
      </c>
      <c r="G15" s="155">
        <f t="shared" si="28"/>
        <v>43.165210000000002</v>
      </c>
      <c r="H15" s="84">
        <f t="shared" si="28"/>
        <v>62.24051</v>
      </c>
      <c r="I15" s="84">
        <f t="shared" si="28"/>
        <v>57.85595</v>
      </c>
      <c r="J15" s="84">
        <f t="shared" si="28"/>
        <v>44.210129999999999</v>
      </c>
      <c r="K15" s="84">
        <f>K37/1000</f>
        <v>135.02898999999999</v>
      </c>
      <c r="L15" s="84">
        <f t="shared" si="28"/>
        <v>0</v>
      </c>
      <c r="M15" s="84">
        <f t="shared" si="28"/>
        <v>0</v>
      </c>
      <c r="N15" s="84">
        <f t="shared" ref="N15" si="29">N37/1000</f>
        <v>0</v>
      </c>
      <c r="O15" s="78"/>
      <c r="P15" s="84">
        <f t="shared" si="23"/>
        <v>101.73600999999999</v>
      </c>
      <c r="Q15" s="84">
        <f t="shared" si="24"/>
        <v>154.30257</v>
      </c>
      <c r="R15" s="84">
        <f t="shared" si="25"/>
        <v>237.09506999999999</v>
      </c>
      <c r="S15" s="84">
        <f t="shared" si="26"/>
        <v>0</v>
      </c>
      <c r="T15" s="84">
        <f t="shared" si="27"/>
        <v>493.13364999999999</v>
      </c>
      <c r="U15" s="78"/>
    </row>
    <row r="16" spans="1:21" s="79" customFormat="1" ht="14.25" customHeight="1">
      <c r="A16" s="78"/>
      <c r="B16" s="86" t="s">
        <v>22</v>
      </c>
      <c r="C16" s="156">
        <f t="shared" ref="C16:N16" si="30">SUM(C6:C15)</f>
        <v>2409.19499</v>
      </c>
      <c r="D16" s="156">
        <f t="shared" si="30"/>
        <v>2474.9916600000001</v>
      </c>
      <c r="E16" s="156">
        <f t="shared" si="30"/>
        <v>3109.7117400000002</v>
      </c>
      <c r="F16" s="156">
        <f t="shared" si="30"/>
        <v>2483.7079399999998</v>
      </c>
      <c r="G16" s="156">
        <f t="shared" si="30"/>
        <v>2744.4800399999999</v>
      </c>
      <c r="H16" s="87">
        <f t="shared" si="30"/>
        <v>2927.9715399999995</v>
      </c>
      <c r="I16" s="87">
        <f t="shared" si="30"/>
        <v>2802.00558</v>
      </c>
      <c r="J16" s="87">
        <f t="shared" si="30"/>
        <v>3349.0965399999995</v>
      </c>
      <c r="K16" s="87">
        <f>SUM(K6:K15)</f>
        <v>2791.29502</v>
      </c>
      <c r="L16" s="87">
        <f t="shared" si="30"/>
        <v>2087.2232966666666</v>
      </c>
      <c r="M16" s="87">
        <f t="shared" si="30"/>
        <v>1797.9122399999999</v>
      </c>
      <c r="N16" s="87">
        <f t="shared" si="30"/>
        <v>1542.35356</v>
      </c>
      <c r="O16" s="88"/>
      <c r="P16" s="87">
        <f>SUM(P6:P15)</f>
        <v>7993.8983900000003</v>
      </c>
      <c r="Q16" s="87">
        <f>SUM(Q6:Q15)</f>
        <v>8156.1595200000011</v>
      </c>
      <c r="R16" s="87">
        <f>SUM(R6:R15)</f>
        <v>8942.3971399999991</v>
      </c>
      <c r="S16" s="87">
        <f>SUM(S6:S15)</f>
        <v>5427.4890966666671</v>
      </c>
      <c r="T16" s="87">
        <f>SUM(T6:T15)</f>
        <v>30519.944146666669</v>
      </c>
      <c r="U16" s="78"/>
    </row>
    <row r="17" spans="1:25" s="79" customFormat="1" ht="14.25" customHeight="1">
      <c r="A17" s="78"/>
      <c r="B17" s="78"/>
      <c r="C17" s="157"/>
      <c r="D17" s="157"/>
      <c r="E17" s="157"/>
      <c r="F17" s="157"/>
      <c r="G17" s="157"/>
      <c r="H17" s="85"/>
      <c r="I17" s="85"/>
      <c r="J17" s="85"/>
      <c r="K17" s="85"/>
      <c r="L17" s="85"/>
      <c r="M17" s="85"/>
      <c r="N17" s="85"/>
      <c r="O17" s="78"/>
      <c r="P17" s="85"/>
      <c r="Q17" s="85"/>
      <c r="R17" s="85"/>
      <c r="S17" s="85"/>
      <c r="T17" s="85"/>
      <c r="U17" s="78"/>
    </row>
    <row r="18" spans="1:25" s="79" customFormat="1" ht="14.25" customHeight="1">
      <c r="A18" s="78"/>
      <c r="B18" s="78" t="s">
        <v>23</v>
      </c>
      <c r="C18" s="155">
        <f t="shared" ref="C18:N18" si="31">C40/1000</f>
        <v>2333.3333299999999</v>
      </c>
      <c r="D18" s="155">
        <f t="shared" si="31"/>
        <v>2333.3333299999999</v>
      </c>
      <c r="E18" s="155">
        <f t="shared" si="31"/>
        <v>2333.3333333333335</v>
      </c>
      <c r="F18" s="155">
        <f t="shared" si="31"/>
        <v>2333.3333333333335</v>
      </c>
      <c r="G18" s="155">
        <f t="shared" si="31"/>
        <v>2333.3333333333335</v>
      </c>
      <c r="H18" s="84">
        <f t="shared" si="31"/>
        <v>2333.3333333333335</v>
      </c>
      <c r="I18" s="84">
        <f t="shared" si="31"/>
        <v>2333.3333333333335</v>
      </c>
      <c r="J18" s="84">
        <f t="shared" si="31"/>
        <v>2333.3333333333335</v>
      </c>
      <c r="K18" s="84">
        <f t="shared" si="31"/>
        <v>2246.6938500000001</v>
      </c>
      <c r="L18" s="84">
        <f t="shared" si="31"/>
        <v>2333.3333333333335</v>
      </c>
      <c r="M18" s="84">
        <f t="shared" si="31"/>
        <v>2333.3333333333335</v>
      </c>
      <c r="N18" s="84">
        <f t="shared" si="31"/>
        <v>2333.3333333333335</v>
      </c>
      <c r="O18" s="78"/>
      <c r="P18" s="84">
        <f>SUM(C18:E18)</f>
        <v>6999.9999933333329</v>
      </c>
      <c r="Q18" s="84">
        <f>SUM(F18:H18)</f>
        <v>7000</v>
      </c>
      <c r="R18" s="84">
        <f>SUM(I18:K18)</f>
        <v>6913.3605166666675</v>
      </c>
      <c r="S18" s="84">
        <f>SUM(L18:N18)</f>
        <v>7000</v>
      </c>
      <c r="T18" s="84">
        <f>SUM(P18:S18)</f>
        <v>27913.360509999999</v>
      </c>
      <c r="U18" s="78"/>
    </row>
    <row r="19" spans="1:25" s="79" customFormat="1" ht="14.25" customHeight="1">
      <c r="A19" s="78"/>
      <c r="B19" s="89"/>
      <c r="C19" s="158"/>
      <c r="D19" s="158"/>
      <c r="E19" s="158"/>
      <c r="F19" s="158"/>
      <c r="G19" s="158"/>
      <c r="H19" s="90"/>
      <c r="I19" s="90"/>
      <c r="J19" s="90"/>
      <c r="K19" s="90"/>
      <c r="L19" s="90"/>
      <c r="M19" s="90"/>
      <c r="N19" s="90"/>
      <c r="O19" s="78"/>
      <c r="P19" s="90"/>
      <c r="Q19" s="90"/>
      <c r="R19" s="90"/>
      <c r="S19" s="90"/>
      <c r="T19" s="90"/>
      <c r="U19" s="78"/>
    </row>
    <row r="20" spans="1:25" s="79" customFormat="1" ht="14.25" customHeight="1" thickBot="1">
      <c r="A20" s="78"/>
      <c r="B20" s="91" t="s">
        <v>51</v>
      </c>
      <c r="C20" s="159">
        <f t="shared" ref="C20:N20" si="32">C16+C18</f>
        <v>4742.5283199999994</v>
      </c>
      <c r="D20" s="159">
        <f t="shared" si="32"/>
        <v>4808.3249900000001</v>
      </c>
      <c r="E20" s="159">
        <f t="shared" si="32"/>
        <v>5443.0450733333337</v>
      </c>
      <c r="F20" s="159">
        <f t="shared" si="32"/>
        <v>4817.0412733333333</v>
      </c>
      <c r="G20" s="159">
        <f t="shared" si="32"/>
        <v>5077.8133733333334</v>
      </c>
      <c r="H20" s="92">
        <f t="shared" si="32"/>
        <v>5261.3048733333326</v>
      </c>
      <c r="I20" s="92">
        <f t="shared" si="32"/>
        <v>5135.338913333333</v>
      </c>
      <c r="J20" s="92">
        <f t="shared" si="32"/>
        <v>5682.4298733333326</v>
      </c>
      <c r="K20" s="92">
        <f t="shared" si="32"/>
        <v>5037.9888700000001</v>
      </c>
      <c r="L20" s="92">
        <f t="shared" si="32"/>
        <v>4420.55663</v>
      </c>
      <c r="M20" s="92">
        <f t="shared" si="32"/>
        <v>4131.2455733333336</v>
      </c>
      <c r="N20" s="92">
        <f t="shared" si="32"/>
        <v>3875.6868933333335</v>
      </c>
      <c r="O20" s="78"/>
      <c r="P20" s="92">
        <f t="shared" ref="P20:T20" si="33">P16+P18</f>
        <v>14993.898383333333</v>
      </c>
      <c r="Q20" s="92">
        <f t="shared" si="33"/>
        <v>15156.159520000001</v>
      </c>
      <c r="R20" s="92">
        <f t="shared" si="33"/>
        <v>15855.757656666667</v>
      </c>
      <c r="S20" s="92">
        <f t="shared" si="33"/>
        <v>12427.489096666668</v>
      </c>
      <c r="T20" s="92">
        <f t="shared" si="33"/>
        <v>58433.304656666667</v>
      </c>
      <c r="U20" s="78"/>
    </row>
    <row r="21" spans="1:25" s="79" customFormat="1" ht="14.25" customHeight="1" thickTop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</row>
    <row r="22" spans="1:25" s="79" customFormat="1" ht="14.2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</row>
    <row r="23" spans="1:25" s="79" customFormat="1" ht="14.25" hidden="1" customHeight="1" outlineLevel="1">
      <c r="A23" s="78"/>
      <c r="B23" s="78"/>
      <c r="C23" s="153">
        <f>(C24/1000)-C20</f>
        <v>-9.999999929277692E-5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</row>
    <row r="24" spans="1:25" s="79" customFormat="1" ht="14.25" hidden="1" customHeight="1" outlineLevel="1">
      <c r="A24" s="78"/>
      <c r="B24" s="78"/>
      <c r="C24" s="152">
        <v>4742528.22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</row>
    <row r="25" spans="1:25" s="79" customFormat="1" ht="14.25" customHeight="1" collapsed="1">
      <c r="A25" s="105" t="s">
        <v>30</v>
      </c>
      <c r="B25" s="106" t="s">
        <v>93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</row>
    <row r="26" spans="1:25" s="72" customFormat="1">
      <c r="A26" s="71"/>
      <c r="B26" s="73" t="s">
        <v>28</v>
      </c>
      <c r="C26" s="149" t="s">
        <v>35</v>
      </c>
      <c r="D26" s="149" t="s">
        <v>35</v>
      </c>
      <c r="E26" s="149" t="s">
        <v>35</v>
      </c>
      <c r="F26" s="149" t="s">
        <v>35</v>
      </c>
      <c r="G26" s="149" t="s">
        <v>35</v>
      </c>
      <c r="H26" s="149" t="s">
        <v>35</v>
      </c>
      <c r="I26" s="149" t="s">
        <v>35</v>
      </c>
      <c r="J26" s="149" t="s">
        <v>35</v>
      </c>
      <c r="K26" s="149" t="s">
        <v>35</v>
      </c>
      <c r="L26" s="74" t="s">
        <v>36</v>
      </c>
      <c r="M26" s="74" t="s">
        <v>36</v>
      </c>
      <c r="N26" s="74" t="s">
        <v>36</v>
      </c>
      <c r="O26" s="70"/>
      <c r="P26" s="78"/>
      <c r="Q26" s="78"/>
      <c r="R26" s="78"/>
      <c r="S26" s="78"/>
      <c r="T26" s="78"/>
      <c r="U26" s="78"/>
      <c r="V26" s="79"/>
      <c r="W26" s="79"/>
    </row>
    <row r="27" spans="1:25" s="72" customFormat="1" ht="37.5" customHeight="1">
      <c r="A27" s="128"/>
      <c r="B27" s="129"/>
      <c r="C27" s="127" t="str">
        <f t="shared" ref="C27:N27" si="34">C5</f>
        <v>Apr</v>
      </c>
      <c r="D27" s="83" t="str">
        <f t="shared" si="34"/>
        <v>May</v>
      </c>
      <c r="E27" s="83" t="str">
        <f t="shared" si="34"/>
        <v>Jun</v>
      </c>
      <c r="F27" s="83" t="str">
        <f t="shared" si="34"/>
        <v>Jul</v>
      </c>
      <c r="G27" s="83" t="str">
        <f t="shared" si="34"/>
        <v>Aug</v>
      </c>
      <c r="H27" s="83" t="str">
        <f t="shared" si="34"/>
        <v>Sep</v>
      </c>
      <c r="I27" s="83" t="str">
        <f t="shared" si="34"/>
        <v>Oct</v>
      </c>
      <c r="J27" s="83" t="str">
        <f t="shared" si="34"/>
        <v>Nov</v>
      </c>
      <c r="K27" s="83" t="str">
        <f t="shared" si="34"/>
        <v>Dec</v>
      </c>
      <c r="L27" s="83" t="str">
        <f t="shared" si="34"/>
        <v>Jan</v>
      </c>
      <c r="M27" s="83" t="str">
        <f t="shared" si="34"/>
        <v>Feb</v>
      </c>
      <c r="N27" s="83" t="str">
        <f t="shared" si="34"/>
        <v>Mar</v>
      </c>
      <c r="P27" s="78"/>
      <c r="Q27" s="78"/>
      <c r="R27" s="78"/>
      <c r="S27" s="78"/>
      <c r="T27" s="78"/>
      <c r="U27" s="78"/>
      <c r="V27" s="79"/>
      <c r="W27" s="79"/>
    </row>
    <row r="28" spans="1:25" s="79" customFormat="1" ht="14.25" customHeight="1">
      <c r="A28" s="93"/>
      <c r="B28" s="79" t="str">
        <f t="shared" ref="B28:B32" si="35">B6</f>
        <v>BNB – Embedded Direct</v>
      </c>
      <c r="C28" s="150">
        <f>1631027.58-63650-1500-201924.03+133804.19</f>
        <v>1497757.74</v>
      </c>
      <c r="D28" s="150">
        <f>1682904.37-58000-62890.96</f>
        <v>1562013.4100000001</v>
      </c>
      <c r="E28" s="164">
        <v>1691939.55</v>
      </c>
      <c r="F28" s="150">
        <f>1473302.42-F30-F33-F34</f>
        <v>1282477.17</v>
      </c>
      <c r="G28" s="150">
        <f>1714816.12-G30-G33-G34</f>
        <v>1553713.11</v>
      </c>
      <c r="H28" s="150">
        <f>1656937.88-158.72-H30-H33-H34</f>
        <v>1513759.0299999998</v>
      </c>
      <c r="I28" s="150">
        <v>1709743.88</v>
      </c>
      <c r="J28" s="150">
        <v>2104719.04</v>
      </c>
      <c r="K28" s="150">
        <v>1600211.33</v>
      </c>
      <c r="L28" s="124">
        <f>'Billed n Booked_Philip_02.02'!C96</f>
        <v>1564550.65</v>
      </c>
      <c r="M28" s="124">
        <f>'Billed n Booked_Philip_02.02'!D96</f>
        <v>1430704.41</v>
      </c>
      <c r="N28" s="124">
        <f>'Billed n Booked_Philip_02.02'!E96</f>
        <v>1361912.14</v>
      </c>
      <c r="P28" s="78"/>
      <c r="Q28" s="78"/>
      <c r="R28" s="174"/>
      <c r="S28" s="78"/>
      <c r="T28" s="78"/>
      <c r="U28" s="78"/>
    </row>
    <row r="29" spans="1:25" s="79" customFormat="1" ht="14.25" customHeight="1">
      <c r="A29" s="93"/>
      <c r="B29" s="79" t="str">
        <f t="shared" si="35"/>
        <v>BNB – DAI Direct</v>
      </c>
      <c r="C29" s="150">
        <v>152301.4</v>
      </c>
      <c r="D29" s="150">
        <v>145691.15</v>
      </c>
      <c r="E29" s="164">
        <v>138829.18</v>
      </c>
      <c r="F29" s="150">
        <v>106070.33</v>
      </c>
      <c r="G29" s="150">
        <v>118720.03</v>
      </c>
      <c r="H29" s="150">
        <v>214300.29</v>
      </c>
      <c r="I29" s="150">
        <v>176013.05</v>
      </c>
      <c r="J29" s="150">
        <v>209482.8</v>
      </c>
      <c r="K29" s="150">
        <v>206218.14</v>
      </c>
      <c r="L29" s="124">
        <f>'Billed n Booked_Philip_02.02'!C94</f>
        <v>188584.07</v>
      </c>
      <c r="M29" s="124">
        <f>'Billed n Booked_Philip_02.02'!D94</f>
        <v>171806.7</v>
      </c>
      <c r="N29" s="124">
        <f>'Billed n Booked_Philip_02.02'!E94</f>
        <v>180441.42</v>
      </c>
      <c r="P29" s="78"/>
      <c r="Q29" s="78"/>
      <c r="R29" s="174"/>
      <c r="S29" s="78"/>
      <c r="T29" s="78"/>
      <c r="U29" s="78"/>
    </row>
    <row r="30" spans="1:25" s="79" customFormat="1" ht="14.25" customHeight="1">
      <c r="A30" s="93"/>
      <c r="B30" s="79" t="str">
        <f t="shared" si="35"/>
        <v>BNB – Other (social / segments / other)</v>
      </c>
      <c r="C30" s="151">
        <v>63650</v>
      </c>
      <c r="D30" s="150">
        <v>58000</v>
      </c>
      <c r="E30" s="164">
        <v>68000</v>
      </c>
      <c r="F30" s="151">
        <v>47000</v>
      </c>
      <c r="G30" s="151">
        <v>35000</v>
      </c>
      <c r="H30" s="151">
        <v>15000</v>
      </c>
      <c r="I30" s="151">
        <v>22000</v>
      </c>
      <c r="J30" s="151">
        <v>4000</v>
      </c>
      <c r="K30" s="151">
        <v>15000</v>
      </c>
      <c r="L30" s="125">
        <f>'Billed n Booked_Philip_02.02'!C98</f>
        <v>35625</v>
      </c>
      <c r="M30" s="125">
        <f>'Billed n Booked_Philip_02.02'!D98</f>
        <v>124000</v>
      </c>
      <c r="N30" s="125">
        <f>'Billed n Booked_Philip_02.02'!E98</f>
        <v>0</v>
      </c>
      <c r="P30" s="78"/>
      <c r="Q30" s="78"/>
      <c r="R30" s="174"/>
      <c r="S30" s="78"/>
      <c r="T30" s="78"/>
      <c r="U30" s="78"/>
    </row>
    <row r="31" spans="1:25" s="79" customFormat="1" ht="14.25" customHeight="1">
      <c r="A31" s="93"/>
      <c r="B31" s="79" t="str">
        <f t="shared" si="35"/>
        <v>Programmatic Revenue</v>
      </c>
      <c r="C31" s="150">
        <v>85019.87</v>
      </c>
      <c r="D31" s="150">
        <v>79655.12</v>
      </c>
      <c r="E31" s="164">
        <f>149611.91+11078.43+1973.3</f>
        <v>162663.63999999998</v>
      </c>
      <c r="F31" s="150">
        <v>198940</v>
      </c>
      <c r="G31" s="150">
        <v>158421.21</v>
      </c>
      <c r="H31" s="150">
        <v>155048.48000000001</v>
      </c>
      <c r="I31" s="150">
        <v>117238.29</v>
      </c>
      <c r="J31" s="150">
        <v>130928.86</v>
      </c>
      <c r="K31" s="150">
        <v>194080.4</v>
      </c>
      <c r="L31" s="126">
        <f>L45-L46+L47+L48+L49+L50</f>
        <v>91169.939999999988</v>
      </c>
      <c r="M31" s="126">
        <f t="shared" ref="M31:N31" si="36">M45-M46+M47+M48+M49+M50</f>
        <v>28025.439999999995</v>
      </c>
      <c r="N31" s="126">
        <f t="shared" si="36"/>
        <v>0</v>
      </c>
      <c r="P31" s="78"/>
      <c r="Q31" s="78"/>
      <c r="R31" s="174"/>
      <c r="S31" s="78"/>
      <c r="T31" s="78"/>
      <c r="U31" s="78"/>
      <c r="Y31" s="119"/>
    </row>
    <row r="32" spans="1:25" s="79" customFormat="1" ht="14.25" customHeight="1">
      <c r="A32" s="93"/>
      <c r="B32" s="79" t="str">
        <f t="shared" si="35"/>
        <v>Art 19  - MG or billed</v>
      </c>
      <c r="C32" s="150">
        <v>509272.01</v>
      </c>
      <c r="D32" s="150">
        <v>536669.03</v>
      </c>
      <c r="E32" s="164">
        <v>798783.13</v>
      </c>
      <c r="F32" s="150">
        <v>656476.97</v>
      </c>
      <c r="G32" s="150">
        <v>709357.47</v>
      </c>
      <c r="H32" s="150">
        <v>839603.1</v>
      </c>
      <c r="I32" s="150">
        <v>593177.86</v>
      </c>
      <c r="J32" s="150">
        <v>727537.02</v>
      </c>
      <c r="K32" s="150">
        <v>520419.54</v>
      </c>
      <c r="L32" s="126">
        <f t="shared" ref="L32:N32" si="37">L52</f>
        <v>96456.83666666667</v>
      </c>
      <c r="M32" s="126">
        <f t="shared" si="37"/>
        <v>43375.69</v>
      </c>
      <c r="N32" s="126">
        <f t="shared" si="37"/>
        <v>0</v>
      </c>
      <c r="P32" s="78"/>
      <c r="Q32" s="78"/>
      <c r="R32" s="174"/>
      <c r="S32" s="78"/>
      <c r="T32" s="78"/>
      <c r="U32" s="78"/>
    </row>
    <row r="33" spans="1:21" s="79" customFormat="1" ht="14.25" customHeight="1">
      <c r="A33" s="93"/>
      <c r="B33" s="79" t="str">
        <f>B11</f>
        <v>Podroll</v>
      </c>
      <c r="C33" s="150">
        <f>201924.03-133804.19</f>
        <v>68119.839999999997</v>
      </c>
      <c r="D33" s="150">
        <v>62890.96</v>
      </c>
      <c r="E33" s="164">
        <f>65094.9899999999+130737.24</f>
        <v>195832.22999999992</v>
      </c>
      <c r="F33" s="150">
        <v>108075.25</v>
      </c>
      <c r="G33" s="150">
        <v>115103.01</v>
      </c>
      <c r="H33" s="150">
        <v>117020.13</v>
      </c>
      <c r="I33" s="150">
        <v>125976.55</v>
      </c>
      <c r="J33" s="150">
        <v>119968.69</v>
      </c>
      <c r="K33" s="150">
        <v>112086.62</v>
      </c>
      <c r="L33" s="145">
        <f>'Billed n Booked_Philip_02.02'!C100</f>
        <v>97086.8</v>
      </c>
      <c r="M33" s="145">
        <v>0</v>
      </c>
      <c r="N33" s="145">
        <v>0</v>
      </c>
      <c r="P33" s="78"/>
      <c r="Q33" s="78"/>
      <c r="R33" s="174"/>
      <c r="S33" s="78"/>
      <c r="T33" s="78"/>
      <c r="U33" s="78"/>
    </row>
    <row r="34" spans="1:21" s="79" customFormat="1" ht="14.25" customHeight="1">
      <c r="A34" s="93"/>
      <c r="B34" s="79" t="str">
        <f>B12</f>
        <v>PodcastOne Pro</v>
      </c>
      <c r="C34" s="150">
        <v>1500</v>
      </c>
      <c r="D34" s="150">
        <v>0</v>
      </c>
      <c r="E34" s="164">
        <v>11000</v>
      </c>
      <c r="F34" s="150">
        <v>35750</v>
      </c>
      <c r="G34" s="150">
        <v>11000</v>
      </c>
      <c r="H34" s="150">
        <v>11000</v>
      </c>
      <c r="I34" s="150">
        <v>0</v>
      </c>
      <c r="J34" s="150">
        <v>8250</v>
      </c>
      <c r="K34" s="150">
        <v>8250</v>
      </c>
      <c r="L34" s="145">
        <f>'Billed n Booked_Philip_02.02'!C102</f>
        <v>13750</v>
      </c>
      <c r="M34" s="145">
        <v>0</v>
      </c>
      <c r="N34" s="145">
        <v>0</v>
      </c>
      <c r="P34" s="78"/>
      <c r="Q34" s="78"/>
      <c r="R34" s="174"/>
      <c r="S34" s="78"/>
      <c r="T34" s="78"/>
      <c r="U34" s="78"/>
    </row>
    <row r="35" spans="1:21" s="79" customFormat="1" ht="14.25" customHeight="1">
      <c r="A35" s="93"/>
      <c r="B35" s="79" t="str">
        <f>B13</f>
        <v>Subscription Revenues</v>
      </c>
      <c r="C35" s="150">
        <v>1322.47</v>
      </c>
      <c r="D35" s="150">
        <v>1115.27</v>
      </c>
      <c r="E35" s="164">
        <v>136.38</v>
      </c>
      <c r="F35" s="150">
        <v>21.37</v>
      </c>
      <c r="G35" s="150">
        <v>0</v>
      </c>
      <c r="H35" s="150">
        <v>0</v>
      </c>
      <c r="I35" s="150">
        <v>0</v>
      </c>
      <c r="J35" s="150">
        <v>0</v>
      </c>
      <c r="K35" s="150">
        <v>0</v>
      </c>
      <c r="L35" s="145">
        <v>0</v>
      </c>
      <c r="M35" s="145">
        <v>0</v>
      </c>
      <c r="N35" s="145">
        <v>0</v>
      </c>
      <c r="P35" s="78"/>
      <c r="Q35" s="78"/>
      <c r="R35" s="174"/>
      <c r="S35" s="78"/>
      <c r="T35" s="78"/>
      <c r="U35" s="78"/>
    </row>
    <row r="36" spans="1:21" s="79" customFormat="1" ht="14.25" customHeight="1">
      <c r="A36" s="93"/>
      <c r="B36" s="79" t="str">
        <f>B14</f>
        <v>Trade</v>
      </c>
      <c r="C36" s="150">
        <v>0</v>
      </c>
      <c r="D36" s="150">
        <v>0</v>
      </c>
      <c r="E36" s="164">
        <v>0</v>
      </c>
      <c r="F36" s="164">
        <v>0</v>
      </c>
      <c r="G36" s="164">
        <v>0</v>
      </c>
      <c r="H36" s="164">
        <v>0</v>
      </c>
      <c r="I36" s="150">
        <v>0</v>
      </c>
      <c r="J36" s="150">
        <v>0</v>
      </c>
      <c r="K36" s="150">
        <v>0</v>
      </c>
      <c r="L36" s="145">
        <v>0</v>
      </c>
      <c r="M36" s="145">
        <v>0</v>
      </c>
      <c r="N36" s="145">
        <v>0</v>
      </c>
      <c r="P36" s="78"/>
      <c r="Q36" s="78"/>
      <c r="R36" s="174"/>
      <c r="S36" s="78"/>
      <c r="T36" s="78"/>
      <c r="U36" s="78"/>
    </row>
    <row r="37" spans="1:21" s="79" customFormat="1" ht="14.25" customHeight="1">
      <c r="A37" s="93"/>
      <c r="B37" s="79" t="str">
        <f>B15</f>
        <v>Other Revenues</v>
      </c>
      <c r="C37" s="150">
        <f>30251.66</f>
        <v>30251.66</v>
      </c>
      <c r="D37" s="150">
        <v>28956.720000000001</v>
      </c>
      <c r="E37" s="164">
        <v>42527.63</v>
      </c>
      <c r="F37" s="150">
        <v>48896.85</v>
      </c>
      <c r="G37" s="150">
        <v>43165.21</v>
      </c>
      <c r="H37" s="150">
        <v>62240.51</v>
      </c>
      <c r="I37" s="150">
        <v>57855.95</v>
      </c>
      <c r="J37" s="150">
        <v>44210.13</v>
      </c>
      <c r="K37" s="150">
        <v>135028.99</v>
      </c>
      <c r="L37" s="145">
        <v>0</v>
      </c>
      <c r="M37" s="145">
        <v>0</v>
      </c>
      <c r="N37" s="145">
        <v>0</v>
      </c>
      <c r="P37" s="78"/>
      <c r="Q37" s="78"/>
      <c r="R37" s="174"/>
      <c r="S37" s="78"/>
      <c r="T37" s="78"/>
      <c r="U37" s="78"/>
    </row>
    <row r="38" spans="1:21" s="79" customFormat="1" ht="14.25" customHeight="1">
      <c r="A38" s="93"/>
      <c r="B38" s="86" t="s">
        <v>22</v>
      </c>
      <c r="C38" s="96">
        <f t="shared" ref="C38:N38" si="38">SUM(C28:C37)</f>
        <v>2409194.9899999998</v>
      </c>
      <c r="D38" s="96">
        <f t="shared" si="38"/>
        <v>2474991.66</v>
      </c>
      <c r="E38" s="162">
        <f t="shared" si="38"/>
        <v>3109711.7399999998</v>
      </c>
      <c r="F38" s="96">
        <f t="shared" si="38"/>
        <v>2483707.94</v>
      </c>
      <c r="G38" s="96">
        <f t="shared" si="38"/>
        <v>2744480.04</v>
      </c>
      <c r="H38" s="96">
        <f t="shared" si="38"/>
        <v>2927971.5399999996</v>
      </c>
      <c r="I38" s="96">
        <f t="shared" si="38"/>
        <v>2802005.58</v>
      </c>
      <c r="J38" s="96">
        <f t="shared" si="38"/>
        <v>3349096.5399999996</v>
      </c>
      <c r="K38" s="162">
        <f>SUM(K28:K37)</f>
        <v>2791295.0200000005</v>
      </c>
      <c r="L38" s="96">
        <f t="shared" si="38"/>
        <v>2087223.2966666666</v>
      </c>
      <c r="M38" s="96">
        <f t="shared" si="38"/>
        <v>1797912.2399999998</v>
      </c>
      <c r="N38" s="96">
        <f t="shared" si="38"/>
        <v>1542353.5599999998</v>
      </c>
      <c r="P38" s="78"/>
      <c r="Q38" s="78"/>
      <c r="R38" s="78"/>
      <c r="S38" s="78"/>
      <c r="T38" s="78"/>
      <c r="U38" s="78"/>
    </row>
    <row r="39" spans="1:21" s="79" customFormat="1" ht="14.25" customHeight="1">
      <c r="A39" s="93"/>
      <c r="C39" s="101"/>
      <c r="D39" s="101"/>
      <c r="E39" s="101"/>
      <c r="F39" s="101"/>
      <c r="G39" s="101"/>
      <c r="H39" s="101"/>
      <c r="I39" s="101"/>
      <c r="J39" s="101"/>
      <c r="K39" s="101"/>
      <c r="P39" s="78"/>
      <c r="Q39" s="78"/>
      <c r="R39" s="78"/>
      <c r="S39" s="78"/>
      <c r="T39" s="78"/>
      <c r="U39" s="78"/>
    </row>
    <row r="40" spans="1:21" s="79" customFormat="1" ht="14.25" customHeight="1">
      <c r="A40" s="93"/>
      <c r="B40" s="79" t="str">
        <f>B18</f>
        <v>Barter</v>
      </c>
      <c r="C40" s="150">
        <v>2333333.33</v>
      </c>
      <c r="D40" s="150">
        <v>2333333.33</v>
      </c>
      <c r="E40" s="150">
        <f t="shared" ref="E40:N40" si="39">28000000/12</f>
        <v>2333333.3333333335</v>
      </c>
      <c r="F40" s="150">
        <f t="shared" si="39"/>
        <v>2333333.3333333335</v>
      </c>
      <c r="G40" s="150">
        <f t="shared" si="39"/>
        <v>2333333.3333333335</v>
      </c>
      <c r="H40" s="150">
        <f t="shared" si="39"/>
        <v>2333333.3333333335</v>
      </c>
      <c r="I40" s="150">
        <f t="shared" si="39"/>
        <v>2333333.3333333335</v>
      </c>
      <c r="J40" s="150">
        <f t="shared" si="39"/>
        <v>2333333.3333333335</v>
      </c>
      <c r="K40" s="150">
        <f>'Dec-2025_IncomeStatement'!B14</f>
        <v>2246693.85</v>
      </c>
      <c r="L40" s="104">
        <f t="shared" si="39"/>
        <v>2333333.3333333335</v>
      </c>
      <c r="M40" s="104">
        <f t="shared" si="39"/>
        <v>2333333.3333333335</v>
      </c>
      <c r="N40" s="104">
        <f t="shared" si="39"/>
        <v>2333333.3333333335</v>
      </c>
      <c r="P40" s="78"/>
      <c r="Q40" s="78"/>
      <c r="R40" s="78"/>
      <c r="S40" s="78"/>
      <c r="T40" s="78"/>
      <c r="U40" s="78"/>
    </row>
    <row r="41" spans="1:21" s="79" customFormat="1" ht="14.25" customHeight="1">
      <c r="A41" s="93"/>
      <c r="C41" s="101"/>
      <c r="D41" s="101"/>
      <c r="E41" s="101"/>
      <c r="F41" s="101"/>
      <c r="G41" s="101"/>
      <c r="H41" s="101"/>
      <c r="I41" s="101"/>
      <c r="J41" s="101"/>
      <c r="K41" s="101"/>
      <c r="P41" s="78"/>
      <c r="Q41" s="78"/>
      <c r="R41" s="78"/>
      <c r="S41" s="78"/>
      <c r="T41" s="78"/>
      <c r="U41" s="78"/>
    </row>
    <row r="42" spans="1:21" s="79" customFormat="1" ht="14.25" customHeight="1" thickBot="1">
      <c r="A42" s="93"/>
      <c r="B42" s="102" t="s">
        <v>51</v>
      </c>
      <c r="C42" s="103">
        <f t="shared" ref="C42:N42" si="40">C38+C40</f>
        <v>4742528.32</v>
      </c>
      <c r="D42" s="103">
        <f t="shared" si="40"/>
        <v>4808324.99</v>
      </c>
      <c r="E42" s="163">
        <f>E38+E40</f>
        <v>5443045.0733333332</v>
      </c>
      <c r="F42" s="103">
        <f t="shared" si="40"/>
        <v>4817041.2733333334</v>
      </c>
      <c r="G42" s="103">
        <f t="shared" si="40"/>
        <v>5077813.3733333331</v>
      </c>
      <c r="H42" s="103">
        <f t="shared" si="40"/>
        <v>5261304.8733333331</v>
      </c>
      <c r="I42" s="103">
        <f t="shared" si="40"/>
        <v>5135338.913333334</v>
      </c>
      <c r="J42" s="103">
        <f t="shared" si="40"/>
        <v>5682429.8733333331</v>
      </c>
      <c r="K42" s="163">
        <f>K38+K40</f>
        <v>5037988.870000001</v>
      </c>
      <c r="L42" s="103">
        <f t="shared" si="40"/>
        <v>4420556.63</v>
      </c>
      <c r="M42" s="103">
        <f t="shared" si="40"/>
        <v>4131245.5733333332</v>
      </c>
      <c r="N42" s="103">
        <f t="shared" si="40"/>
        <v>3875686.8933333335</v>
      </c>
      <c r="P42" s="161"/>
      <c r="Q42" s="78"/>
      <c r="R42" s="78"/>
      <c r="S42" s="78"/>
      <c r="T42" s="78"/>
      <c r="U42" s="78"/>
    </row>
    <row r="43" spans="1:21" s="79" customFormat="1" ht="14.25" customHeight="1" thickTop="1">
      <c r="A43" s="93"/>
      <c r="B43" s="94"/>
      <c r="C43" s="100"/>
      <c r="D43" s="100"/>
      <c r="E43" s="100"/>
      <c r="F43" s="100"/>
      <c r="G43" s="100"/>
      <c r="H43" s="100"/>
      <c r="I43" s="100"/>
      <c r="J43" s="100"/>
      <c r="K43" s="100"/>
      <c r="L43" s="78"/>
      <c r="M43" s="78"/>
      <c r="N43" s="78"/>
      <c r="P43" s="78"/>
      <c r="Q43" s="78"/>
      <c r="R43" s="78"/>
      <c r="S43" s="78"/>
      <c r="T43" s="78"/>
      <c r="U43" s="78"/>
    </row>
    <row r="44" spans="1:21" s="79" customFormat="1" ht="14.25" customHeight="1">
      <c r="A44" s="93"/>
      <c r="B44" s="106" t="s">
        <v>97</v>
      </c>
      <c r="C44" s="78"/>
      <c r="D44" s="100"/>
      <c r="E44" s="78"/>
      <c r="F44" s="78"/>
      <c r="G44" s="78"/>
      <c r="H44" s="78"/>
      <c r="I44" s="78"/>
      <c r="J44" s="78"/>
      <c r="K44" s="78"/>
      <c r="M44" s="78"/>
      <c r="N44" s="78"/>
    </row>
    <row r="45" spans="1:21" ht="14.25" customHeight="1">
      <c r="A45" s="30"/>
      <c r="B45" s="110" t="s">
        <v>52</v>
      </c>
      <c r="C45" s="78"/>
      <c r="D45" s="100"/>
      <c r="E45" s="160"/>
      <c r="F45" s="160"/>
      <c r="G45" s="160"/>
      <c r="H45" s="160"/>
      <c r="I45" s="160"/>
      <c r="J45" s="160"/>
      <c r="K45" s="160"/>
      <c r="L45" s="144">
        <f>'Adswizz Rev_Exp_02.17'!D3</f>
        <v>37439.370000000003</v>
      </c>
      <c r="M45" s="144">
        <f>'Adswizz Rev_Exp_02.17'!D14</f>
        <v>11298.24</v>
      </c>
      <c r="N45" s="144"/>
      <c r="O45" s="79"/>
    </row>
    <row r="46" spans="1:21" ht="14.25" customHeight="1">
      <c r="A46" s="30"/>
      <c r="B46" s="110" t="s">
        <v>53</v>
      </c>
      <c r="C46" s="78"/>
      <c r="D46" s="100"/>
      <c r="E46" s="160"/>
      <c r="F46" s="160"/>
      <c r="G46" s="160"/>
      <c r="H46" s="160"/>
      <c r="I46" s="160"/>
      <c r="J46" s="160"/>
      <c r="K46" s="160"/>
      <c r="L46" s="144">
        <f>'Adswizz Rev_Exp_02.17'!D6</f>
        <v>14105.29</v>
      </c>
      <c r="M46" s="144">
        <f>'Adswizz Rev_Exp_02.17'!D17</f>
        <v>2699.05</v>
      </c>
      <c r="N46" s="144"/>
      <c r="O46" s="79"/>
    </row>
    <row r="47" spans="1:21" ht="14.25" customHeight="1">
      <c r="A47" s="30"/>
      <c r="B47" s="148" t="s">
        <v>121</v>
      </c>
      <c r="C47" s="78"/>
      <c r="D47" s="100"/>
      <c r="E47" s="160"/>
      <c r="F47" s="160"/>
      <c r="G47" s="160"/>
      <c r="H47" s="160"/>
      <c r="I47" s="160"/>
      <c r="J47" s="160"/>
      <c r="K47" s="160"/>
      <c r="L47" s="144">
        <f>'Programmatic Data_Michal_02.09'!B6</f>
        <v>44330.879999999997</v>
      </c>
      <c r="M47" s="144">
        <f>'Programmatic Data_Michal_02.09'!L24</f>
        <v>12196.22</v>
      </c>
      <c r="N47" s="144"/>
      <c r="O47" s="79"/>
      <c r="P47" s="166"/>
    </row>
    <row r="48" spans="1:21" ht="14.25" customHeight="1">
      <c r="A48" s="30"/>
      <c r="B48" s="148" t="s">
        <v>122</v>
      </c>
      <c r="C48" s="78"/>
      <c r="D48" s="100"/>
      <c r="E48" s="160"/>
      <c r="F48" s="160"/>
      <c r="G48" s="160"/>
      <c r="H48" s="160"/>
      <c r="I48" s="160"/>
      <c r="J48" s="160"/>
      <c r="K48" s="160"/>
      <c r="L48" s="144">
        <v>0</v>
      </c>
      <c r="M48" s="144">
        <v>0</v>
      </c>
      <c r="N48" s="144"/>
      <c r="O48" s="79"/>
      <c r="P48" s="166"/>
    </row>
    <row r="49" spans="1:20" ht="14.25" customHeight="1">
      <c r="A49" s="30"/>
      <c r="B49" s="148" t="s">
        <v>124</v>
      </c>
      <c r="C49" s="78"/>
      <c r="D49" s="100"/>
      <c r="E49" s="160"/>
      <c r="F49" s="160"/>
      <c r="G49" s="160"/>
      <c r="H49" s="160"/>
      <c r="I49" s="160"/>
      <c r="J49" s="160"/>
      <c r="K49" s="160"/>
      <c r="L49" s="144">
        <v>0</v>
      </c>
      <c r="M49" s="144">
        <v>0</v>
      </c>
      <c r="N49" s="144"/>
      <c r="O49" s="79"/>
      <c r="P49" s="166"/>
    </row>
    <row r="50" spans="1:20" ht="14.25" customHeight="1">
      <c r="A50" s="30"/>
      <c r="B50" s="148" t="s">
        <v>123</v>
      </c>
      <c r="C50" s="78"/>
      <c r="D50" s="100"/>
      <c r="E50" s="160"/>
      <c r="F50" s="160"/>
      <c r="G50" s="160"/>
      <c r="H50" s="160"/>
      <c r="I50" s="160"/>
      <c r="J50" s="160"/>
      <c r="K50" s="160"/>
      <c r="L50" s="144">
        <f>'Programmatic Data_Michal_02.09'!L16</f>
        <v>23504.98</v>
      </c>
      <c r="M50" s="144">
        <f>'Programmatic Data_Michal_02.09'!L23</f>
        <v>7230.03</v>
      </c>
      <c r="N50" s="144"/>
      <c r="O50" s="79"/>
    </row>
    <row r="51" spans="1:20" ht="14.25" customHeight="1">
      <c r="A51" s="30"/>
      <c r="B51" s="25"/>
      <c r="C51" s="78"/>
      <c r="D51" s="100"/>
      <c r="E51" s="15"/>
      <c r="F51" s="15"/>
      <c r="G51" s="15"/>
      <c r="H51" s="15"/>
      <c r="I51" s="15"/>
      <c r="J51" s="15"/>
      <c r="K51" s="15"/>
      <c r="L51" s="15"/>
      <c r="M51" s="143"/>
      <c r="N51" s="143"/>
      <c r="O51" s="79"/>
      <c r="P51" s="166"/>
      <c r="S51" s="130"/>
    </row>
    <row r="52" spans="1:20" ht="14.25" customHeight="1">
      <c r="A52" s="30"/>
      <c r="B52" s="148" t="s">
        <v>119</v>
      </c>
      <c r="C52" s="78"/>
      <c r="D52" s="100"/>
      <c r="E52" s="160"/>
      <c r="F52" s="160"/>
      <c r="G52" s="160"/>
      <c r="H52" s="160"/>
      <c r="I52" s="160"/>
      <c r="J52" s="160"/>
      <c r="K52" s="160"/>
      <c r="L52" s="144">
        <f>'Programmatic Data_Michal_02.09'!L14</f>
        <v>96456.83666666667</v>
      </c>
      <c r="M52" s="144">
        <v>43375.69</v>
      </c>
      <c r="N52" s="144"/>
      <c r="O52" s="79"/>
      <c r="P52" s="166"/>
      <c r="Q52" s="166"/>
    </row>
    <row r="53" spans="1:20" ht="14.25" customHeight="1">
      <c r="A53" s="30"/>
      <c r="B53" s="25"/>
      <c r="C53" s="15"/>
      <c r="D53" s="100"/>
      <c r="E53" s="15"/>
      <c r="F53" s="15"/>
      <c r="G53" s="15"/>
      <c r="H53" s="15"/>
      <c r="I53" s="15"/>
      <c r="J53" s="15"/>
      <c r="K53" s="15"/>
      <c r="L53" s="15"/>
      <c r="M53" s="15"/>
      <c r="N53" s="15"/>
      <c r="P53" s="166"/>
      <c r="Q53" s="166"/>
    </row>
    <row r="54" spans="1:20" ht="14.25" customHeight="1">
      <c r="A54" s="30"/>
      <c r="B54" s="2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Q54" s="166"/>
    </row>
    <row r="55" spans="1:20" s="68" customFormat="1" ht="21">
      <c r="A55" s="69" t="s">
        <v>92</v>
      </c>
      <c r="B55" s="66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ht="14.25" hidden="1" customHeight="1" outlineLevel="1">
      <c r="A56" s="75" t="s">
        <v>32</v>
      </c>
      <c r="B56" s="76" t="s">
        <v>33</v>
      </c>
      <c r="C56" s="77">
        <v>2024</v>
      </c>
      <c r="D56" s="77">
        <v>2024</v>
      </c>
      <c r="E56" s="77">
        <v>2024</v>
      </c>
      <c r="F56" s="77">
        <v>2024</v>
      </c>
      <c r="G56" s="77">
        <v>2024</v>
      </c>
      <c r="H56" s="77">
        <v>2024</v>
      </c>
      <c r="I56" s="77">
        <v>2024</v>
      </c>
      <c r="J56" s="77">
        <v>2024</v>
      </c>
      <c r="K56" s="77">
        <v>2024</v>
      </c>
      <c r="L56" s="77">
        <v>2025</v>
      </c>
      <c r="M56" s="77">
        <v>2025</v>
      </c>
      <c r="N56" s="77">
        <v>2025</v>
      </c>
      <c r="O56" s="78"/>
      <c r="P56" s="77">
        <f>I56</f>
        <v>2024</v>
      </c>
      <c r="Q56" s="77">
        <f t="shared" ref="Q56" si="41">J56</f>
        <v>2024</v>
      </c>
      <c r="R56" s="77">
        <f t="shared" ref="R56" si="42">K56</f>
        <v>2024</v>
      </c>
      <c r="S56" s="77">
        <f t="shared" ref="S56" si="43">L56</f>
        <v>2025</v>
      </c>
      <c r="T56" s="78"/>
    </row>
    <row r="57" spans="1:20" ht="14.25" hidden="1" customHeight="1" outlineLevel="1" thickBot="1">
      <c r="A57" s="78"/>
      <c r="B57" s="333" t="s">
        <v>34</v>
      </c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</row>
    <row r="58" spans="1:20" ht="14.25" hidden="1" customHeight="1" outlineLevel="1" thickTop="1">
      <c r="A58" s="78"/>
      <c r="B58" s="80"/>
      <c r="C58" s="81" t="s">
        <v>37</v>
      </c>
      <c r="D58" s="82" t="s">
        <v>38</v>
      </c>
      <c r="E58" s="82" t="s">
        <v>39</v>
      </c>
      <c r="F58" s="82" t="s">
        <v>40</v>
      </c>
      <c r="G58" s="82" t="s">
        <v>41</v>
      </c>
      <c r="H58" s="82" t="s">
        <v>42</v>
      </c>
      <c r="I58" s="82" t="s">
        <v>43</v>
      </c>
      <c r="J58" s="82" t="s">
        <v>44</v>
      </c>
      <c r="K58" s="82" t="s">
        <v>45</v>
      </c>
      <c r="L58" s="82" t="s">
        <v>46</v>
      </c>
      <c r="M58" s="82" t="s">
        <v>47</v>
      </c>
      <c r="N58" s="82" t="s">
        <v>48</v>
      </c>
      <c r="O58" s="82" t="s">
        <v>49</v>
      </c>
      <c r="P58" s="82" t="s">
        <v>6</v>
      </c>
      <c r="Q58" s="82" t="s">
        <v>7</v>
      </c>
      <c r="R58" s="82" t="s">
        <v>8</v>
      </c>
      <c r="S58" s="82" t="s">
        <v>9</v>
      </c>
      <c r="T58" s="83" t="s">
        <v>50</v>
      </c>
    </row>
    <row r="59" spans="1:20" ht="14.25" hidden="1" customHeight="1" outlineLevel="1">
      <c r="A59" s="78"/>
      <c r="B59" s="78" t="s">
        <v>82</v>
      </c>
      <c r="C59" s="95">
        <v>1104.84295</v>
      </c>
      <c r="D59" s="95">
        <v>1441.4921200000001</v>
      </c>
      <c r="E59" s="95">
        <v>1637.4337399999999</v>
      </c>
      <c r="F59" s="95">
        <v>1213.74577</v>
      </c>
      <c r="G59" s="95">
        <v>1509.53964</v>
      </c>
      <c r="H59" s="95">
        <v>1320.5448899999999</v>
      </c>
      <c r="I59" s="95">
        <v>1176.68994</v>
      </c>
      <c r="J59" s="95">
        <v>1613.08627</v>
      </c>
      <c r="K59" s="95">
        <v>1582.51224</v>
      </c>
      <c r="L59" s="95">
        <v>1164.2779200000002</v>
      </c>
      <c r="M59" s="95">
        <v>1541.7690400000001</v>
      </c>
      <c r="N59" s="95">
        <f>1633.21443-(133804.19/1000)</f>
        <v>1499.4102399999999</v>
      </c>
      <c r="O59" s="85"/>
      <c r="P59" s="147">
        <f>SUM(C59:E59)</f>
        <v>4183.7688099999996</v>
      </c>
      <c r="Q59" s="147">
        <f>SUM(F59:H59)</f>
        <v>4043.8302999999996</v>
      </c>
      <c r="R59" s="147">
        <f>SUM(I59:K59)</f>
        <v>4372.28845</v>
      </c>
      <c r="S59" s="147">
        <f>SUM(L59:N59)</f>
        <v>4205.4572000000007</v>
      </c>
      <c r="T59" s="147">
        <f t="shared" ref="T59:T68" si="44">SUM(P59:S59)</f>
        <v>16805.34476</v>
      </c>
    </row>
    <row r="60" spans="1:20" ht="14.25" hidden="1" customHeight="1" outlineLevel="1">
      <c r="A60" s="78"/>
      <c r="B60" s="78" t="s">
        <v>83</v>
      </c>
      <c r="C60" s="95">
        <v>189.64654000000002</v>
      </c>
      <c r="D60" s="95">
        <v>194.86448000000001</v>
      </c>
      <c r="E60" s="95">
        <v>248.88022000000001</v>
      </c>
      <c r="F60" s="95">
        <v>223.79355999999999</v>
      </c>
      <c r="G60" s="95">
        <v>146.72447</v>
      </c>
      <c r="H60" s="95">
        <v>293.15249</v>
      </c>
      <c r="I60" s="95">
        <v>291.68795</v>
      </c>
      <c r="J60" s="95">
        <v>271.39782000000002</v>
      </c>
      <c r="K60" s="95">
        <v>241.03817000000001</v>
      </c>
      <c r="L60" s="95">
        <v>201.36659</v>
      </c>
      <c r="M60" s="95">
        <v>224.25042000000002</v>
      </c>
      <c r="N60" s="95">
        <v>220.63954000000001</v>
      </c>
      <c r="O60" s="78"/>
      <c r="P60" s="147">
        <f t="shared" ref="P60:P68" si="45">SUM(C60:E60)</f>
        <v>633.39124000000004</v>
      </c>
      <c r="Q60" s="147">
        <f t="shared" ref="Q60:Q68" si="46">SUM(F60:H60)</f>
        <v>663.6705199999999</v>
      </c>
      <c r="R60" s="147">
        <f t="shared" ref="R60:R68" si="47">SUM(I60:K60)</f>
        <v>804.12394000000006</v>
      </c>
      <c r="S60" s="147">
        <f t="shared" ref="S60:S68" si="48">SUM(L60:N60)</f>
        <v>646.25655000000006</v>
      </c>
      <c r="T60" s="147">
        <f t="shared" si="44"/>
        <v>2747.4422500000001</v>
      </c>
    </row>
    <row r="61" spans="1:20" ht="14.25" hidden="1" customHeight="1" outlineLevel="1">
      <c r="A61" s="78"/>
      <c r="B61" s="78" t="s">
        <v>84</v>
      </c>
      <c r="C61" s="95">
        <v>0</v>
      </c>
      <c r="D61" s="95">
        <v>0</v>
      </c>
      <c r="E61" s="95">
        <v>0</v>
      </c>
      <c r="F61" s="95">
        <v>0</v>
      </c>
      <c r="G61" s="95">
        <v>0</v>
      </c>
      <c r="H61" s="95">
        <v>0</v>
      </c>
      <c r="I61" s="95">
        <v>0</v>
      </c>
      <c r="J61" s="95">
        <v>0</v>
      </c>
      <c r="K61" s="95">
        <v>0</v>
      </c>
      <c r="L61" s="95">
        <v>3</v>
      </c>
      <c r="M61" s="95">
        <v>34.5</v>
      </c>
      <c r="N61" s="95">
        <v>89.65</v>
      </c>
      <c r="O61" s="78"/>
      <c r="P61" s="147">
        <f t="shared" si="45"/>
        <v>0</v>
      </c>
      <c r="Q61" s="147">
        <f t="shared" si="46"/>
        <v>0</v>
      </c>
      <c r="R61" s="147">
        <f t="shared" si="47"/>
        <v>0</v>
      </c>
      <c r="S61" s="147">
        <f t="shared" si="48"/>
        <v>127.15</v>
      </c>
      <c r="T61" s="147">
        <f t="shared" si="44"/>
        <v>127.15</v>
      </c>
    </row>
    <row r="62" spans="1:20" ht="14.25" hidden="1" customHeight="1" outlineLevel="1">
      <c r="A62" s="78"/>
      <c r="B62" s="78" t="s">
        <v>79</v>
      </c>
      <c r="C62" s="95">
        <v>595.55220999999995</v>
      </c>
      <c r="D62" s="95">
        <v>645.06831999999997</v>
      </c>
      <c r="E62" s="95">
        <v>904.12662</v>
      </c>
      <c r="F62" s="95">
        <v>518.54318000000001</v>
      </c>
      <c r="G62" s="95">
        <v>449.56198000000001</v>
      </c>
      <c r="H62" s="95">
        <v>533.52292</v>
      </c>
      <c r="I62" s="95">
        <v>353.93539000000004</v>
      </c>
      <c r="J62" s="95">
        <v>546.16158999999993</v>
      </c>
      <c r="K62" s="95">
        <v>613.54059999999993</v>
      </c>
      <c r="L62" s="95">
        <v>301.69410999999997</v>
      </c>
      <c r="M62" s="95">
        <v>234.00315000000003</v>
      </c>
      <c r="N62" s="95">
        <v>282.48509999999999</v>
      </c>
      <c r="O62" s="78"/>
      <c r="P62" s="147">
        <f t="shared" si="45"/>
        <v>2144.7471500000001</v>
      </c>
      <c r="Q62" s="147">
        <f t="shared" si="46"/>
        <v>1501.62808</v>
      </c>
      <c r="R62" s="147">
        <f t="shared" si="47"/>
        <v>1513.6375800000001</v>
      </c>
      <c r="S62" s="147">
        <f t="shared" si="48"/>
        <v>818.18236000000002</v>
      </c>
      <c r="T62" s="147">
        <f t="shared" si="44"/>
        <v>5978.19517</v>
      </c>
    </row>
    <row r="63" spans="1:20" ht="14.25" hidden="1" customHeight="1" outlineLevel="1">
      <c r="A63" s="78"/>
      <c r="B63" s="78" t="s">
        <v>85</v>
      </c>
      <c r="C63" s="95">
        <v>0</v>
      </c>
      <c r="D63" s="95">
        <v>0</v>
      </c>
      <c r="E63" s="95">
        <v>0</v>
      </c>
      <c r="F63" s="95">
        <v>0</v>
      </c>
      <c r="G63" s="95">
        <v>0</v>
      </c>
      <c r="H63" s="95">
        <v>0</v>
      </c>
      <c r="I63" s="95">
        <v>0</v>
      </c>
      <c r="J63" s="95">
        <v>0</v>
      </c>
      <c r="K63" s="95">
        <v>0</v>
      </c>
      <c r="L63" s="95">
        <v>0</v>
      </c>
      <c r="M63" s="95">
        <v>500</v>
      </c>
      <c r="N63" s="95">
        <v>228.04288</v>
      </c>
      <c r="O63" s="78"/>
      <c r="P63" s="147">
        <f t="shared" si="45"/>
        <v>0</v>
      </c>
      <c r="Q63" s="147">
        <f t="shared" si="46"/>
        <v>0</v>
      </c>
      <c r="R63" s="147">
        <f t="shared" si="47"/>
        <v>0</v>
      </c>
      <c r="S63" s="147">
        <f t="shared" si="48"/>
        <v>728.04287999999997</v>
      </c>
      <c r="T63" s="147">
        <f t="shared" si="44"/>
        <v>728.04287999999997</v>
      </c>
    </row>
    <row r="64" spans="1:20" ht="14.25" hidden="1" customHeight="1" outlineLevel="1">
      <c r="A64" s="78"/>
      <c r="B64" s="78" t="s">
        <v>29</v>
      </c>
      <c r="C64" s="95">
        <v>0</v>
      </c>
      <c r="D64" s="95">
        <v>0</v>
      </c>
      <c r="E64" s="95">
        <v>0</v>
      </c>
      <c r="F64" s="95">
        <v>0</v>
      </c>
      <c r="G64" s="95">
        <v>0</v>
      </c>
      <c r="H64" s="95">
        <v>0</v>
      </c>
      <c r="I64" s="95">
        <v>0</v>
      </c>
      <c r="J64" s="95">
        <v>0</v>
      </c>
      <c r="K64" s="95">
        <v>0</v>
      </c>
      <c r="L64" s="95">
        <v>43.781440000000003</v>
      </c>
      <c r="M64" s="95">
        <v>0</v>
      </c>
      <c r="N64" s="95">
        <f>(133804.19/1000)</f>
        <v>133.80419000000001</v>
      </c>
      <c r="O64" s="78"/>
      <c r="P64" s="147">
        <f t="shared" si="45"/>
        <v>0</v>
      </c>
      <c r="Q64" s="147">
        <f t="shared" si="46"/>
        <v>0</v>
      </c>
      <c r="R64" s="147">
        <f t="shared" si="47"/>
        <v>0</v>
      </c>
      <c r="S64" s="147">
        <f t="shared" si="48"/>
        <v>177.58563000000001</v>
      </c>
      <c r="T64" s="147">
        <f t="shared" si="44"/>
        <v>177.58563000000001</v>
      </c>
    </row>
    <row r="65" spans="1:20" ht="14.25" hidden="1" customHeight="1" outlineLevel="1">
      <c r="A65" s="78"/>
      <c r="B65" s="78" t="s">
        <v>86</v>
      </c>
      <c r="C65" s="95">
        <v>0</v>
      </c>
      <c r="D65" s="95">
        <v>0</v>
      </c>
      <c r="E65" s="95">
        <v>0</v>
      </c>
      <c r="F65" s="95">
        <v>0</v>
      </c>
      <c r="G65" s="95">
        <v>0</v>
      </c>
      <c r="H65" s="95">
        <v>0</v>
      </c>
      <c r="I65" s="95">
        <v>0</v>
      </c>
      <c r="J65" s="95">
        <v>0</v>
      </c>
      <c r="K65" s="95">
        <v>0</v>
      </c>
      <c r="L65" s="95">
        <v>0</v>
      </c>
      <c r="M65" s="95">
        <v>44</v>
      </c>
      <c r="N65" s="95">
        <v>21.75</v>
      </c>
      <c r="O65" s="78"/>
      <c r="P65" s="147">
        <f t="shared" si="45"/>
        <v>0</v>
      </c>
      <c r="Q65" s="147">
        <f t="shared" si="46"/>
        <v>0</v>
      </c>
      <c r="R65" s="147">
        <f t="shared" si="47"/>
        <v>0</v>
      </c>
      <c r="S65" s="147">
        <f t="shared" si="48"/>
        <v>65.75</v>
      </c>
      <c r="T65" s="147">
        <f t="shared" si="44"/>
        <v>65.75</v>
      </c>
    </row>
    <row r="66" spans="1:20" ht="14.25" hidden="1" customHeight="1" outlineLevel="1">
      <c r="A66" s="78"/>
      <c r="B66" s="78" t="s">
        <v>87</v>
      </c>
      <c r="C66" s="95">
        <v>2.2553800000000002</v>
      </c>
      <c r="D66" s="95">
        <v>1.8919600000000001</v>
      </c>
      <c r="E66" s="95">
        <v>1.5006600000000001</v>
      </c>
      <c r="F66" s="95">
        <v>2.30837</v>
      </c>
      <c r="G66" s="95">
        <v>1.5131300000000001</v>
      </c>
      <c r="H66" s="95">
        <v>1.4981600000000002</v>
      </c>
      <c r="I66" s="95">
        <v>2.2672300000000001</v>
      </c>
      <c r="J66" s="95">
        <v>2.0035599999999998</v>
      </c>
      <c r="K66" s="95">
        <v>1.1823900000000001</v>
      </c>
      <c r="L66" s="95">
        <v>1.82768</v>
      </c>
      <c r="M66" s="95">
        <v>1.03979</v>
      </c>
      <c r="N66" s="95">
        <v>1.3781300000000001</v>
      </c>
      <c r="O66" s="78"/>
      <c r="P66" s="147">
        <f t="shared" si="45"/>
        <v>5.6479999999999997</v>
      </c>
      <c r="Q66" s="147">
        <f t="shared" si="46"/>
        <v>5.3196600000000007</v>
      </c>
      <c r="R66" s="147">
        <f t="shared" si="47"/>
        <v>5.4531799999999997</v>
      </c>
      <c r="S66" s="147">
        <f t="shared" si="48"/>
        <v>4.2455999999999996</v>
      </c>
      <c r="T66" s="147">
        <f t="shared" si="44"/>
        <v>20.666439999999998</v>
      </c>
    </row>
    <row r="67" spans="1:20" ht="14.25" hidden="1" customHeight="1" outlineLevel="1">
      <c r="A67" s="78"/>
      <c r="B67" s="78" t="s">
        <v>88</v>
      </c>
      <c r="C67" s="95">
        <v>0</v>
      </c>
      <c r="D67" s="95">
        <v>0</v>
      </c>
      <c r="E67" s="95">
        <v>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  <c r="L67" s="95">
        <v>0</v>
      </c>
      <c r="M67" s="95">
        <v>0</v>
      </c>
      <c r="N67" s="95">
        <v>0</v>
      </c>
      <c r="O67" s="78"/>
      <c r="P67" s="147">
        <f t="shared" si="45"/>
        <v>0</v>
      </c>
      <c r="Q67" s="147">
        <f t="shared" si="46"/>
        <v>0</v>
      </c>
      <c r="R67" s="147">
        <f t="shared" si="47"/>
        <v>0</v>
      </c>
      <c r="S67" s="147">
        <f t="shared" si="48"/>
        <v>0</v>
      </c>
      <c r="T67" s="147">
        <f t="shared" si="44"/>
        <v>0</v>
      </c>
    </row>
    <row r="68" spans="1:20" ht="14.25" hidden="1" customHeight="1" outlineLevel="1">
      <c r="A68" s="78"/>
      <c r="B68" s="78" t="s">
        <v>89</v>
      </c>
      <c r="C68" s="95">
        <v>23.340589999999999</v>
      </c>
      <c r="D68" s="95">
        <v>35.137279999999997</v>
      </c>
      <c r="E68" s="95">
        <v>132.63941</v>
      </c>
      <c r="F68" s="95">
        <v>50.872879999999995</v>
      </c>
      <c r="G68" s="95">
        <v>66.53813000000001</v>
      </c>
      <c r="H68" s="95">
        <v>-178.32271</v>
      </c>
      <c r="I68" s="95">
        <v>2.7796799999999999</v>
      </c>
      <c r="J68" s="95">
        <v>1.4000699999999999</v>
      </c>
      <c r="K68" s="95">
        <v>10.2896</v>
      </c>
      <c r="L68" s="95">
        <v>3.3090100000000002</v>
      </c>
      <c r="M68" s="95">
        <v>0.86368</v>
      </c>
      <c r="N68" s="95">
        <v>266.17134000000004</v>
      </c>
      <c r="O68" s="78"/>
      <c r="P68" s="147">
        <f t="shared" si="45"/>
        <v>191.11727999999999</v>
      </c>
      <c r="Q68" s="147">
        <f t="shared" si="46"/>
        <v>-60.911699999999996</v>
      </c>
      <c r="R68" s="147">
        <f t="shared" si="47"/>
        <v>14.46935</v>
      </c>
      <c r="S68" s="147">
        <f t="shared" si="48"/>
        <v>270.34403000000003</v>
      </c>
      <c r="T68" s="147">
        <f t="shared" si="44"/>
        <v>415.01895999999999</v>
      </c>
    </row>
    <row r="69" spans="1:20" ht="14.25" hidden="1" customHeight="1" outlineLevel="1">
      <c r="A69" s="78"/>
      <c r="B69" s="86" t="s">
        <v>22</v>
      </c>
      <c r="C69" s="96">
        <f t="shared" ref="C69:N69" si="49">SUM(C59:C68)</f>
        <v>1915.6376699999998</v>
      </c>
      <c r="D69" s="96">
        <f t="shared" si="49"/>
        <v>2318.4541599999998</v>
      </c>
      <c r="E69" s="96">
        <f t="shared" si="49"/>
        <v>2924.5806499999999</v>
      </c>
      <c r="F69" s="96">
        <f t="shared" si="49"/>
        <v>2009.26376</v>
      </c>
      <c r="G69" s="96">
        <f t="shared" si="49"/>
        <v>2173.8773499999998</v>
      </c>
      <c r="H69" s="96">
        <f t="shared" si="49"/>
        <v>1970.3957500000001</v>
      </c>
      <c r="I69" s="96">
        <f t="shared" si="49"/>
        <v>1827.3601900000001</v>
      </c>
      <c r="J69" s="96">
        <f t="shared" si="49"/>
        <v>2434.0493099999999</v>
      </c>
      <c r="K69" s="96">
        <f t="shared" si="49"/>
        <v>2448.5630000000001</v>
      </c>
      <c r="L69" s="96">
        <f t="shared" si="49"/>
        <v>1719.2567500000002</v>
      </c>
      <c r="M69" s="96">
        <f t="shared" si="49"/>
        <v>2580.4260799999997</v>
      </c>
      <c r="N69" s="96">
        <f t="shared" si="49"/>
        <v>2743.3314199999995</v>
      </c>
      <c r="O69" s="88"/>
      <c r="P69" s="96">
        <f>SUM(P59:P68)</f>
        <v>7158.6724800000002</v>
      </c>
      <c r="Q69" s="96">
        <f>SUM(Q59:Q68)</f>
        <v>6153.5368600000002</v>
      </c>
      <c r="R69" s="96">
        <f>SUM(R59:R68)</f>
        <v>6709.9725000000008</v>
      </c>
      <c r="S69" s="96">
        <f>SUM(S59:S68)</f>
        <v>7043.0142500000002</v>
      </c>
      <c r="T69" s="96">
        <f>SUM(T59:T68)</f>
        <v>27065.196090000005</v>
      </c>
    </row>
    <row r="70" spans="1:20" ht="14.25" hidden="1" customHeight="1" outlineLevel="1">
      <c r="A70" s="78"/>
      <c r="B70" s="78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78"/>
      <c r="P70" s="97"/>
      <c r="Q70" s="97"/>
      <c r="R70" s="97"/>
      <c r="S70" s="97"/>
      <c r="T70" s="97"/>
    </row>
    <row r="71" spans="1:20" ht="14.25" hidden="1" customHeight="1" outlineLevel="1">
      <c r="A71" s="78"/>
      <c r="B71" s="78" t="s">
        <v>23</v>
      </c>
      <c r="C71" s="95">
        <v>2286.8512299999998</v>
      </c>
      <c r="D71" s="95">
        <v>2585.1593199999998</v>
      </c>
      <c r="E71" s="95">
        <v>1127.98945</v>
      </c>
      <c r="F71" s="95">
        <v>2000</v>
      </c>
      <c r="G71" s="95">
        <v>2000</v>
      </c>
      <c r="H71" s="95">
        <v>2000</v>
      </c>
      <c r="I71" s="95">
        <v>2000</v>
      </c>
      <c r="J71" s="95">
        <v>2000</v>
      </c>
      <c r="K71" s="95">
        <v>2000</v>
      </c>
      <c r="L71" s="95">
        <v>2333.3333333333335</v>
      </c>
      <c r="M71" s="95">
        <v>2333.3333333333335</v>
      </c>
      <c r="N71" s="95">
        <v>2333.3333333333335</v>
      </c>
      <c r="O71" s="78"/>
      <c r="P71" s="95">
        <v>5999.9999999999991</v>
      </c>
      <c r="Q71" s="95">
        <v>6000</v>
      </c>
      <c r="R71" s="95">
        <v>6000</v>
      </c>
      <c r="S71" s="95">
        <v>7000</v>
      </c>
      <c r="T71" s="95">
        <v>25000</v>
      </c>
    </row>
    <row r="72" spans="1:20" ht="14.25" hidden="1" customHeight="1" outlineLevel="1">
      <c r="A72" s="78"/>
      <c r="B72" s="89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78"/>
      <c r="P72" s="98"/>
      <c r="Q72" s="98"/>
      <c r="R72" s="98"/>
      <c r="S72" s="98"/>
      <c r="T72" s="98"/>
    </row>
    <row r="73" spans="1:20" ht="14.25" hidden="1" customHeight="1" outlineLevel="1" thickBot="1">
      <c r="A73" s="78"/>
      <c r="B73" s="91" t="s">
        <v>51</v>
      </c>
      <c r="C73" s="99">
        <f t="shared" ref="C73:N73" si="50">C69+C71</f>
        <v>4202.4888999999994</v>
      </c>
      <c r="D73" s="99">
        <f t="shared" si="50"/>
        <v>4903.61348</v>
      </c>
      <c r="E73" s="99">
        <f t="shared" si="50"/>
        <v>4052.5700999999999</v>
      </c>
      <c r="F73" s="99">
        <f t="shared" si="50"/>
        <v>4009.2637599999998</v>
      </c>
      <c r="G73" s="99">
        <f t="shared" si="50"/>
        <v>4173.8773499999998</v>
      </c>
      <c r="H73" s="99">
        <f t="shared" si="50"/>
        <v>3970.3957500000001</v>
      </c>
      <c r="I73" s="99">
        <f t="shared" si="50"/>
        <v>3827.3601900000003</v>
      </c>
      <c r="J73" s="99">
        <f t="shared" si="50"/>
        <v>4434.0493100000003</v>
      </c>
      <c r="K73" s="99">
        <f t="shared" si="50"/>
        <v>4448.5630000000001</v>
      </c>
      <c r="L73" s="99">
        <f t="shared" si="50"/>
        <v>4052.5900833333335</v>
      </c>
      <c r="M73" s="99">
        <f t="shared" si="50"/>
        <v>4913.7594133333332</v>
      </c>
      <c r="N73" s="99">
        <f t="shared" si="50"/>
        <v>5076.6647533333326</v>
      </c>
      <c r="O73" s="78"/>
      <c r="P73" s="99">
        <f t="shared" ref="P73:T73" si="51">P69+P71</f>
        <v>13158.672479999999</v>
      </c>
      <c r="Q73" s="99">
        <f t="shared" si="51"/>
        <v>12153.53686</v>
      </c>
      <c r="R73" s="99">
        <f t="shared" si="51"/>
        <v>12709.9725</v>
      </c>
      <c r="S73" s="99">
        <f t="shared" si="51"/>
        <v>14043.01425</v>
      </c>
      <c r="T73" s="99">
        <f t="shared" si="51"/>
        <v>52065.196090000005</v>
      </c>
    </row>
    <row r="74" spans="1:20" ht="14.25" hidden="1" customHeight="1" outlineLevel="1" thickTop="1"/>
    <row r="75" spans="1:20" ht="14.25" hidden="1" customHeight="1" outlineLevel="1">
      <c r="A75" s="30" t="s">
        <v>54</v>
      </c>
      <c r="B75" s="25" t="s">
        <v>33</v>
      </c>
      <c r="C75" s="31" t="s">
        <v>55</v>
      </c>
      <c r="D75" s="31" t="s">
        <v>55</v>
      </c>
      <c r="E75" s="31" t="s">
        <v>55</v>
      </c>
      <c r="F75" s="31" t="s">
        <v>55</v>
      </c>
      <c r="G75" s="31" t="s">
        <v>55</v>
      </c>
      <c r="H75" s="31" t="s">
        <v>55</v>
      </c>
      <c r="I75" s="31" t="s">
        <v>55</v>
      </c>
      <c r="J75" s="31" t="s">
        <v>55</v>
      </c>
      <c r="K75" s="31" t="s">
        <v>55</v>
      </c>
      <c r="L75" s="31" t="s">
        <v>56</v>
      </c>
      <c r="M75" s="31" t="s">
        <v>56</v>
      </c>
      <c r="N75" s="31" t="s">
        <v>56</v>
      </c>
    </row>
    <row r="76" spans="1:20" ht="14.25" hidden="1" customHeight="1" outlineLevel="1" thickBot="1">
      <c r="B76" s="335" t="s">
        <v>34</v>
      </c>
      <c r="C76" s="336"/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</row>
    <row r="77" spans="1:20" ht="14.25" hidden="1" customHeight="1" outlineLevel="1" thickTop="1">
      <c r="B77" s="23"/>
      <c r="C77" s="22" t="s">
        <v>37</v>
      </c>
      <c r="D77" s="22" t="s">
        <v>38</v>
      </c>
      <c r="E77" s="22" t="s">
        <v>39</v>
      </c>
      <c r="F77" s="22" t="s">
        <v>40</v>
      </c>
      <c r="G77" s="22" t="s">
        <v>41</v>
      </c>
      <c r="H77" s="22" t="s">
        <v>42</v>
      </c>
      <c r="I77" s="22" t="s">
        <v>43</v>
      </c>
      <c r="J77" s="22" t="s">
        <v>44</v>
      </c>
      <c r="K77" s="22" t="s">
        <v>45</v>
      </c>
      <c r="L77" s="22" t="s">
        <v>46</v>
      </c>
      <c r="M77" s="22" t="s">
        <v>47</v>
      </c>
      <c r="N77" s="22" t="s">
        <v>48</v>
      </c>
      <c r="O77" s="22" t="s">
        <v>49</v>
      </c>
      <c r="P77" s="22" t="s">
        <v>6</v>
      </c>
      <c r="Q77" s="22" t="s">
        <v>7</v>
      </c>
      <c r="R77" s="22" t="s">
        <v>8</v>
      </c>
      <c r="S77" s="22" t="s">
        <v>9</v>
      </c>
      <c r="T77" s="32" t="s">
        <v>57</v>
      </c>
    </row>
    <row r="78" spans="1:20" ht="14.25" hidden="1" customHeight="1" outlineLevel="1">
      <c r="B78" s="122" t="s">
        <v>108</v>
      </c>
      <c r="C78" s="9">
        <v>1022</v>
      </c>
      <c r="D78" s="9">
        <v>1552</v>
      </c>
      <c r="E78" s="9">
        <v>1429</v>
      </c>
      <c r="F78" s="9">
        <v>1240</v>
      </c>
      <c r="G78" s="9">
        <v>1600</v>
      </c>
      <c r="H78" s="9">
        <v>1524</v>
      </c>
      <c r="I78" s="9">
        <v>1532</v>
      </c>
      <c r="J78" s="9">
        <v>1950</v>
      </c>
      <c r="K78" s="9">
        <v>1647</v>
      </c>
      <c r="L78" s="9">
        <v>1200</v>
      </c>
      <c r="M78" s="9">
        <v>1311</v>
      </c>
      <c r="N78" s="9">
        <v>1511</v>
      </c>
      <c r="O78" s="10"/>
      <c r="P78" s="9">
        <v>4003</v>
      </c>
      <c r="Q78" s="9">
        <v>4364</v>
      </c>
      <c r="R78" s="9">
        <v>5129</v>
      </c>
      <c r="S78" s="10">
        <v>4022</v>
      </c>
      <c r="T78" s="10">
        <v>17518</v>
      </c>
    </row>
    <row r="79" spans="1:20" ht="14.25" hidden="1" customHeight="1" outlineLevel="1">
      <c r="B79" s="7" t="s">
        <v>14</v>
      </c>
      <c r="C79" s="9">
        <v>759</v>
      </c>
      <c r="D79" s="9">
        <v>938</v>
      </c>
      <c r="E79" s="9">
        <v>812</v>
      </c>
      <c r="F79" s="9">
        <v>864</v>
      </c>
      <c r="G79" s="9">
        <v>848</v>
      </c>
      <c r="H79" s="9">
        <v>842</v>
      </c>
      <c r="I79" s="9">
        <v>721</v>
      </c>
      <c r="J79" s="9">
        <v>742</v>
      </c>
      <c r="K79" s="9">
        <v>643</v>
      </c>
      <c r="L79" s="9">
        <v>358</v>
      </c>
      <c r="M79" s="9">
        <v>516</v>
      </c>
      <c r="N79" s="9">
        <v>722</v>
      </c>
      <c r="O79" s="24"/>
      <c r="P79" s="9">
        <v>2509</v>
      </c>
      <c r="Q79" s="9">
        <v>2554</v>
      </c>
      <c r="R79" s="9">
        <v>2106</v>
      </c>
      <c r="S79" s="10">
        <v>1596</v>
      </c>
      <c r="T79" s="10">
        <v>8765</v>
      </c>
    </row>
    <row r="80" spans="1:20" ht="14.25" hidden="1" customHeight="1" outlineLevel="1">
      <c r="B80" s="7" t="s">
        <v>15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24"/>
      <c r="P80" s="9">
        <v>0</v>
      </c>
      <c r="Q80" s="9">
        <v>0</v>
      </c>
      <c r="R80" s="9">
        <v>0</v>
      </c>
      <c r="S80" s="10">
        <v>0</v>
      </c>
      <c r="T80" s="10">
        <v>0</v>
      </c>
    </row>
    <row r="81" spans="1:20" ht="14.25" hidden="1" customHeight="1" outlineLevel="1">
      <c r="B81" s="7" t="s">
        <v>16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74</v>
      </c>
      <c r="K81" s="9">
        <v>0</v>
      </c>
      <c r="L81" s="9">
        <v>38</v>
      </c>
      <c r="M81" s="9">
        <v>0</v>
      </c>
      <c r="N81" s="9">
        <v>0</v>
      </c>
      <c r="O81" s="24"/>
      <c r="P81" s="9">
        <v>0</v>
      </c>
      <c r="Q81" s="9">
        <v>0</v>
      </c>
      <c r="R81" s="9">
        <v>74</v>
      </c>
      <c r="S81" s="10">
        <v>38</v>
      </c>
      <c r="T81" s="10">
        <v>112</v>
      </c>
    </row>
    <row r="82" spans="1:20" ht="14.25" hidden="1" customHeight="1" outlineLevel="1">
      <c r="B82" s="7" t="s">
        <v>17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24"/>
      <c r="P82" s="9">
        <v>0</v>
      </c>
      <c r="Q82" s="9">
        <v>0</v>
      </c>
      <c r="R82" s="9">
        <v>0</v>
      </c>
      <c r="S82" s="10">
        <v>0</v>
      </c>
      <c r="T82" s="10">
        <v>0</v>
      </c>
    </row>
    <row r="83" spans="1:20" ht="14.25" hidden="1" customHeight="1" outlineLevel="1">
      <c r="B83" s="7" t="s">
        <v>18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24"/>
      <c r="P83" s="9">
        <v>0</v>
      </c>
      <c r="Q83" s="9">
        <v>0</v>
      </c>
      <c r="R83" s="9">
        <v>0</v>
      </c>
      <c r="S83" s="10">
        <v>0</v>
      </c>
      <c r="T83" s="10">
        <v>0</v>
      </c>
    </row>
    <row r="84" spans="1:20" ht="14.25" hidden="1" customHeight="1" outlineLevel="1">
      <c r="B84" s="7" t="s">
        <v>19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24"/>
      <c r="P84" s="9">
        <v>0</v>
      </c>
      <c r="Q84" s="9">
        <v>0</v>
      </c>
      <c r="R84" s="9">
        <v>0</v>
      </c>
      <c r="S84" s="10">
        <v>0</v>
      </c>
      <c r="T84" s="10">
        <v>0</v>
      </c>
    </row>
    <row r="85" spans="1:20" ht="14.25" hidden="1" customHeight="1" outlineLevel="1">
      <c r="B85" s="7" t="s">
        <v>20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24"/>
      <c r="P85" s="9">
        <v>0</v>
      </c>
      <c r="Q85" s="9">
        <v>0</v>
      </c>
      <c r="R85" s="9">
        <v>0</v>
      </c>
      <c r="S85" s="10">
        <v>0</v>
      </c>
      <c r="T85" s="10">
        <v>0</v>
      </c>
    </row>
    <row r="86" spans="1:20" ht="14.25" hidden="1" customHeight="1" outlineLevel="1">
      <c r="B86" s="11" t="s">
        <v>22</v>
      </c>
      <c r="C86" s="13">
        <v>1781</v>
      </c>
      <c r="D86" s="13">
        <v>2490</v>
      </c>
      <c r="E86" s="13">
        <v>2241</v>
      </c>
      <c r="F86" s="13">
        <v>2104</v>
      </c>
      <c r="G86" s="13">
        <v>2448</v>
      </c>
      <c r="H86" s="13">
        <v>2366</v>
      </c>
      <c r="I86" s="13">
        <v>2253</v>
      </c>
      <c r="J86" s="13">
        <v>2766</v>
      </c>
      <c r="K86" s="13">
        <v>2290</v>
      </c>
      <c r="L86" s="13">
        <v>1596</v>
      </c>
      <c r="M86" s="13">
        <v>1827</v>
      </c>
      <c r="N86" s="13">
        <v>2233</v>
      </c>
      <c r="O86" s="24"/>
      <c r="P86" s="13">
        <v>6512</v>
      </c>
      <c r="Q86" s="13">
        <v>6918</v>
      </c>
      <c r="R86" s="13">
        <v>7309</v>
      </c>
      <c r="S86" s="14">
        <v>5656</v>
      </c>
      <c r="T86" s="14">
        <v>26395</v>
      </c>
    </row>
    <row r="87" spans="1:20" ht="14.25" hidden="1" customHeight="1" outlineLevel="1">
      <c r="B87" s="19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24"/>
      <c r="P87" s="35"/>
      <c r="Q87" s="35"/>
      <c r="R87" s="35"/>
      <c r="S87" s="21"/>
      <c r="T87" s="21"/>
    </row>
    <row r="88" spans="1:20" ht="9" hidden="1" customHeight="1" outlineLevel="1">
      <c r="B88" s="7" t="s">
        <v>23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2739.6116699999998</v>
      </c>
      <c r="M88" s="9">
        <v>2446.53206</v>
      </c>
      <c r="N88" s="9">
        <v>813.85626999999999</v>
      </c>
      <c r="O88" s="24"/>
      <c r="P88" s="9">
        <v>0</v>
      </c>
      <c r="Q88" s="9">
        <v>0</v>
      </c>
      <c r="R88" s="9">
        <v>0</v>
      </c>
      <c r="S88" s="10">
        <v>6000</v>
      </c>
      <c r="T88" s="10">
        <v>6000</v>
      </c>
    </row>
    <row r="89" spans="1:20" ht="14.25" hidden="1" customHeight="1" outlineLevel="1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24"/>
      <c r="P89" s="9"/>
      <c r="Q89" s="9"/>
      <c r="R89" s="9"/>
      <c r="S89" s="10"/>
      <c r="T89" s="10"/>
    </row>
    <row r="90" spans="1:20" ht="6" hidden="1" customHeight="1" outlineLevel="1" thickBot="1">
      <c r="B90" s="36" t="s">
        <v>51</v>
      </c>
      <c r="C90" s="37">
        <v>1781</v>
      </c>
      <c r="D90" s="37">
        <v>2490</v>
      </c>
      <c r="E90" s="37">
        <v>2241</v>
      </c>
      <c r="F90" s="37">
        <v>2104</v>
      </c>
      <c r="G90" s="37">
        <v>2448</v>
      </c>
      <c r="H90" s="37">
        <v>2366</v>
      </c>
      <c r="I90" s="37">
        <v>2253</v>
      </c>
      <c r="J90" s="37">
        <v>2766</v>
      </c>
      <c r="K90" s="37">
        <v>2290</v>
      </c>
      <c r="L90" s="37">
        <v>4335.6116700000002</v>
      </c>
      <c r="M90" s="37">
        <v>4273.5320599999995</v>
      </c>
      <c r="N90" s="37">
        <v>3046.8562700000002</v>
      </c>
      <c r="O90" s="24"/>
      <c r="P90" s="37">
        <v>6512</v>
      </c>
      <c r="Q90" s="37">
        <v>6918</v>
      </c>
      <c r="R90" s="37">
        <v>7309</v>
      </c>
      <c r="S90" s="38">
        <v>11656</v>
      </c>
      <c r="T90" s="38">
        <v>32395</v>
      </c>
    </row>
    <row r="91" spans="1:20" ht="14.25" hidden="1" customHeight="1" outlineLevel="1" thickTop="1"/>
    <row r="92" spans="1:20" ht="14.25" hidden="1" customHeight="1" outlineLevel="1"/>
    <row r="93" spans="1:20" ht="14.25" hidden="1" customHeight="1" outlineLevel="1"/>
    <row r="94" spans="1:20" ht="14.25" hidden="1" customHeight="1" outlineLevel="1"/>
    <row r="95" spans="1:20" ht="14.25" hidden="1" customHeight="1" outlineLevel="1">
      <c r="A95" s="30" t="s">
        <v>59</v>
      </c>
      <c r="C95" s="39" t="s">
        <v>60</v>
      </c>
      <c r="D95" s="39" t="s">
        <v>60</v>
      </c>
      <c r="E95" s="39" t="s">
        <v>60</v>
      </c>
      <c r="F95" s="39" t="s">
        <v>60</v>
      </c>
      <c r="G95" s="39" t="s">
        <v>60</v>
      </c>
      <c r="H95" s="39" t="s">
        <v>60</v>
      </c>
      <c r="I95" s="39" t="s">
        <v>60</v>
      </c>
      <c r="J95" s="39" t="s">
        <v>60</v>
      </c>
      <c r="K95" s="39" t="s">
        <v>60</v>
      </c>
      <c r="L95" s="39" t="s">
        <v>55</v>
      </c>
      <c r="M95" s="39" t="s">
        <v>55</v>
      </c>
      <c r="N95" s="39" t="s">
        <v>55</v>
      </c>
    </row>
    <row r="96" spans="1:20" ht="14.25" hidden="1" customHeight="1" outlineLevel="1" thickBot="1">
      <c r="B96" s="335" t="s">
        <v>34</v>
      </c>
      <c r="C96" s="336"/>
      <c r="D96" s="336"/>
      <c r="E96" s="336"/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</row>
    <row r="97" spans="2:20" ht="14.25" hidden="1" customHeight="1" outlineLevel="1" thickTop="1">
      <c r="B97" s="23"/>
      <c r="C97" s="22" t="s">
        <v>37</v>
      </c>
      <c r="D97" s="22" t="s">
        <v>38</v>
      </c>
      <c r="E97" s="22" t="s">
        <v>39</v>
      </c>
      <c r="F97" s="22" t="s">
        <v>40</v>
      </c>
      <c r="G97" s="22" t="s">
        <v>41</v>
      </c>
      <c r="H97" s="22" t="s">
        <v>42</v>
      </c>
      <c r="I97" s="22" t="s">
        <v>43</v>
      </c>
      <c r="J97" s="22" t="s">
        <v>44</v>
      </c>
      <c r="K97" s="22" t="s">
        <v>45</v>
      </c>
      <c r="L97" s="22" t="s">
        <v>46</v>
      </c>
      <c r="M97" s="22" t="s">
        <v>47</v>
      </c>
      <c r="N97" s="22" t="s">
        <v>48</v>
      </c>
      <c r="O97" s="22" t="s">
        <v>49</v>
      </c>
      <c r="P97" s="22" t="s">
        <v>6</v>
      </c>
      <c r="Q97" s="22" t="s">
        <v>7</v>
      </c>
      <c r="R97" s="22" t="s">
        <v>8</v>
      </c>
      <c r="S97" s="22" t="s">
        <v>9</v>
      </c>
      <c r="T97" s="32" t="s">
        <v>61</v>
      </c>
    </row>
    <row r="98" spans="2:20" ht="14.25" hidden="1" customHeight="1" outlineLevel="1">
      <c r="B98" s="7" t="s">
        <v>13</v>
      </c>
      <c r="C98" s="9">
        <v>1556.9449999999999</v>
      </c>
      <c r="D98" s="9">
        <v>1970.451</v>
      </c>
      <c r="E98" s="9">
        <v>2003.07404</v>
      </c>
      <c r="F98" s="9">
        <v>1669.5820000000001</v>
      </c>
      <c r="G98" s="9">
        <v>1959.7570000000001</v>
      </c>
      <c r="H98" s="9">
        <v>1679.748</v>
      </c>
      <c r="I98" s="9">
        <v>1416.7570000000001</v>
      </c>
      <c r="J98" s="9">
        <v>1615.3420000000001</v>
      </c>
      <c r="K98" s="9">
        <v>1878.797</v>
      </c>
      <c r="L98" s="9">
        <v>1316.2411764705882</v>
      </c>
      <c r="M98" s="9">
        <v>1103.473</v>
      </c>
      <c r="N98" s="9">
        <v>1810.2862600000001</v>
      </c>
      <c r="O98" s="9"/>
      <c r="P98" s="9">
        <v>5530.4700400000002</v>
      </c>
      <c r="Q98" s="9">
        <v>5309.0869999999995</v>
      </c>
      <c r="R98" s="9">
        <v>4910.8960000000006</v>
      </c>
      <c r="S98" s="9">
        <v>4230.0004364705883</v>
      </c>
      <c r="T98" s="9">
        <v>19980.45347647059</v>
      </c>
    </row>
    <row r="99" spans="2:20" ht="14.25" hidden="1" customHeight="1" outlineLevel="1">
      <c r="B99" s="7" t="s">
        <v>14</v>
      </c>
      <c r="C99" s="8">
        <v>544.75699999999995</v>
      </c>
      <c r="D99" s="8">
        <v>647.72</v>
      </c>
      <c r="E99" s="8">
        <v>626.74699999999996</v>
      </c>
      <c r="F99" s="8">
        <v>328.35784000000001</v>
      </c>
      <c r="G99" s="8">
        <v>315.79702000000003</v>
      </c>
      <c r="H99" s="8">
        <v>472.08600000000001</v>
      </c>
      <c r="I99" s="8">
        <v>395.64600000000002</v>
      </c>
      <c r="J99" s="8">
        <v>508.77600000000001</v>
      </c>
      <c r="K99" s="9">
        <v>430.65134999999998</v>
      </c>
      <c r="L99" s="9">
        <v>216.31700000000001</v>
      </c>
      <c r="M99" s="9">
        <v>488.94263000000001</v>
      </c>
      <c r="N99" s="9">
        <v>661.673</v>
      </c>
      <c r="O99" s="16"/>
      <c r="P99" s="9">
        <v>1819.2239999999997</v>
      </c>
      <c r="Q99" s="9">
        <v>1116.2408600000001</v>
      </c>
      <c r="R99" s="9">
        <v>1335.0733500000001</v>
      </c>
      <c r="S99" s="9">
        <v>1366.93263</v>
      </c>
      <c r="T99" s="9">
        <v>5637.4708400000009</v>
      </c>
    </row>
    <row r="100" spans="2:20" ht="14.25" hidden="1" customHeight="1" outlineLevel="1">
      <c r="B100" s="7" t="s">
        <v>15</v>
      </c>
      <c r="C100" s="9">
        <v>14</v>
      </c>
      <c r="D100" s="9">
        <v>19</v>
      </c>
      <c r="E100" s="9">
        <v>22</v>
      </c>
      <c r="F100" s="9">
        <v>14</v>
      </c>
      <c r="G100" s="9">
        <v>6</v>
      </c>
      <c r="H100" s="9">
        <v>33</v>
      </c>
      <c r="I100" s="9">
        <v>5</v>
      </c>
      <c r="J100" s="9">
        <v>21</v>
      </c>
      <c r="K100" s="9">
        <v>19</v>
      </c>
      <c r="L100" s="9">
        <v>17</v>
      </c>
      <c r="M100" s="9">
        <v>14</v>
      </c>
      <c r="N100" s="9">
        <v>10</v>
      </c>
      <c r="O100" s="16"/>
      <c r="P100" s="9">
        <v>55</v>
      </c>
      <c r="Q100" s="9">
        <v>53</v>
      </c>
      <c r="R100" s="9">
        <v>45</v>
      </c>
      <c r="S100" s="9">
        <v>41</v>
      </c>
      <c r="T100" s="9">
        <v>194</v>
      </c>
    </row>
    <row r="101" spans="2:20" ht="14.25" hidden="1" customHeight="1" outlineLevel="1">
      <c r="B101" s="7" t="s">
        <v>16</v>
      </c>
      <c r="C101" s="9">
        <v>0</v>
      </c>
      <c r="D101" s="9">
        <v>0</v>
      </c>
      <c r="E101" s="9">
        <v>0</v>
      </c>
      <c r="F101" s="9">
        <v>100</v>
      </c>
      <c r="G101" s="9">
        <v>100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16"/>
      <c r="P101" s="9">
        <v>0</v>
      </c>
      <c r="Q101" s="9">
        <v>200</v>
      </c>
      <c r="R101" s="9">
        <v>0</v>
      </c>
      <c r="S101" s="9">
        <v>0</v>
      </c>
      <c r="T101" s="9">
        <v>200</v>
      </c>
    </row>
    <row r="102" spans="2:20" ht="14.25" hidden="1" customHeight="1" outlineLevel="1">
      <c r="B102" s="7" t="s">
        <v>17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16"/>
      <c r="P102" s="9">
        <v>0</v>
      </c>
      <c r="Q102" s="9">
        <v>0</v>
      </c>
      <c r="R102" s="9">
        <v>0</v>
      </c>
      <c r="S102" s="9">
        <v>0</v>
      </c>
      <c r="T102" s="9">
        <v>0</v>
      </c>
    </row>
    <row r="103" spans="2:20" ht="14.25" hidden="1" customHeight="1" outlineLevel="1">
      <c r="B103" s="7" t="s">
        <v>18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16"/>
      <c r="P103" s="9">
        <v>0</v>
      </c>
      <c r="Q103" s="9">
        <v>0</v>
      </c>
      <c r="R103" s="9">
        <v>0</v>
      </c>
      <c r="S103" s="9">
        <v>0</v>
      </c>
      <c r="T103" s="9">
        <v>0</v>
      </c>
    </row>
    <row r="104" spans="2:20" ht="14.25" hidden="1" customHeight="1" outlineLevel="1">
      <c r="B104" s="7" t="s">
        <v>19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16"/>
      <c r="P104" s="9">
        <v>0</v>
      </c>
      <c r="Q104" s="9">
        <v>0</v>
      </c>
      <c r="R104" s="9">
        <v>0</v>
      </c>
      <c r="S104" s="9">
        <v>0</v>
      </c>
      <c r="T104" s="9">
        <v>0</v>
      </c>
    </row>
    <row r="105" spans="2:20" ht="14.25" hidden="1" customHeight="1" outlineLevel="1">
      <c r="B105" s="7" t="s">
        <v>20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298</v>
      </c>
      <c r="L105" s="9">
        <v>0</v>
      </c>
      <c r="M105" s="9">
        <v>0</v>
      </c>
      <c r="N105" s="9">
        <v>0</v>
      </c>
      <c r="O105" s="16"/>
      <c r="P105" s="9">
        <v>0</v>
      </c>
      <c r="Q105" s="9">
        <v>0</v>
      </c>
      <c r="R105" s="9">
        <v>298</v>
      </c>
      <c r="S105" s="9">
        <v>0</v>
      </c>
      <c r="T105" s="9">
        <v>298</v>
      </c>
    </row>
    <row r="106" spans="2:20" ht="14.25" hidden="1" customHeight="1" outlineLevel="1">
      <c r="B106" s="11" t="s">
        <v>22</v>
      </c>
      <c r="C106" s="13">
        <v>2115.7019999999998</v>
      </c>
      <c r="D106" s="13">
        <v>2637.1710000000003</v>
      </c>
      <c r="E106" s="13">
        <v>2651.8210399999998</v>
      </c>
      <c r="F106" s="13">
        <v>2111.93984</v>
      </c>
      <c r="G106" s="13">
        <v>2381.55402</v>
      </c>
      <c r="H106" s="13">
        <v>2184.8339999999998</v>
      </c>
      <c r="I106" s="13">
        <v>1817.403</v>
      </c>
      <c r="J106" s="13">
        <v>2145.1179999999999</v>
      </c>
      <c r="K106" s="13">
        <v>2626.4483500000001</v>
      </c>
      <c r="L106" s="13">
        <v>1549.5581764705883</v>
      </c>
      <c r="M106" s="13">
        <v>1606.41563</v>
      </c>
      <c r="N106" s="13">
        <v>2481.9592600000001</v>
      </c>
      <c r="O106" s="16"/>
      <c r="P106" s="13">
        <v>7404.6940400000003</v>
      </c>
      <c r="Q106" s="13">
        <v>6678.3278599999994</v>
      </c>
      <c r="R106" s="13">
        <v>6588.9693500000012</v>
      </c>
      <c r="S106" s="13">
        <v>5637.9330664705885</v>
      </c>
      <c r="T106" s="13">
        <v>26309.924316470591</v>
      </c>
    </row>
    <row r="107" spans="2:20" ht="14.25" hidden="1" customHeight="1" outlineLevel="1">
      <c r="B107" s="19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16"/>
      <c r="P107" s="35"/>
      <c r="Q107" s="35"/>
      <c r="R107" s="35"/>
      <c r="S107" s="35"/>
      <c r="T107" s="35"/>
    </row>
    <row r="108" spans="2:20" ht="14.25" hidden="1" customHeight="1" outlineLevel="1">
      <c r="B108" s="7" t="s">
        <v>23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666.66666666666663</v>
      </c>
      <c r="M108" s="9">
        <v>1845.2743500000001</v>
      </c>
      <c r="N108" s="9">
        <v>693.29300000000001</v>
      </c>
      <c r="O108" s="16"/>
      <c r="P108" s="9">
        <v>0</v>
      </c>
      <c r="Q108" s="9">
        <v>0</v>
      </c>
      <c r="R108" s="9">
        <v>0</v>
      </c>
      <c r="S108" s="9">
        <v>3205.2340166666668</v>
      </c>
      <c r="T108" s="9">
        <v>3205.2340166666668</v>
      </c>
    </row>
    <row r="109" spans="2:20" ht="14.25" hidden="1" customHeight="1" outlineLevel="1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6"/>
      <c r="P109" s="9"/>
      <c r="Q109" s="9"/>
      <c r="R109" s="9"/>
      <c r="S109" s="9"/>
      <c r="T109" s="9"/>
    </row>
    <row r="110" spans="2:20" ht="14.25" hidden="1" customHeight="1" outlineLevel="1" thickBot="1">
      <c r="B110" s="36" t="s">
        <v>51</v>
      </c>
      <c r="C110" s="37">
        <v>2115.7019999999998</v>
      </c>
      <c r="D110" s="37">
        <v>2637.1710000000003</v>
      </c>
      <c r="E110" s="37">
        <v>2651.8210399999998</v>
      </c>
      <c r="F110" s="37">
        <v>2111.93984</v>
      </c>
      <c r="G110" s="37">
        <v>2381.55402</v>
      </c>
      <c r="H110" s="37">
        <v>2184.8339999999998</v>
      </c>
      <c r="I110" s="37">
        <v>1817.403</v>
      </c>
      <c r="J110" s="37">
        <v>2145.1179999999999</v>
      </c>
      <c r="K110" s="37">
        <v>2626.4483500000001</v>
      </c>
      <c r="L110" s="37">
        <v>2216.224843137255</v>
      </c>
      <c r="M110" s="37">
        <v>3451.6899800000001</v>
      </c>
      <c r="N110" s="37">
        <v>3175.2522600000002</v>
      </c>
      <c r="O110" s="16"/>
      <c r="P110" s="37">
        <v>7404.6940400000003</v>
      </c>
      <c r="Q110" s="37">
        <v>6678.3278599999994</v>
      </c>
      <c r="R110" s="37">
        <v>6588.9693500000012</v>
      </c>
      <c r="S110" s="37">
        <v>8843.1670831372558</v>
      </c>
      <c r="T110" s="37">
        <v>29515.158333137257</v>
      </c>
    </row>
    <row r="111" spans="2:20" ht="14.25" hidden="1" customHeight="1" outlineLevel="1" thickTop="1"/>
    <row r="112" spans="2:20" ht="14.25" hidden="1" customHeight="1" outlineLevel="1">
      <c r="F112" s="8"/>
    </row>
    <row r="113" spans="1:21" ht="14.25" hidden="1" customHeight="1" outlineLevel="1"/>
    <row r="114" spans="1:21" ht="14.25" hidden="1" customHeight="1" outlineLevel="1">
      <c r="A114" s="30" t="s">
        <v>62</v>
      </c>
      <c r="C114" s="39" t="s">
        <v>63</v>
      </c>
      <c r="D114" s="39" t="s">
        <v>63</v>
      </c>
      <c r="E114" s="39" t="s">
        <v>63</v>
      </c>
      <c r="F114" s="39" t="s">
        <v>63</v>
      </c>
      <c r="G114" s="39" t="s">
        <v>63</v>
      </c>
      <c r="H114" s="39" t="s">
        <v>63</v>
      </c>
      <c r="I114" s="39" t="s">
        <v>63</v>
      </c>
      <c r="J114" s="39" t="s">
        <v>63</v>
      </c>
      <c r="K114" s="39" t="s">
        <v>63</v>
      </c>
      <c r="L114" s="39" t="s">
        <v>60</v>
      </c>
      <c r="M114" s="39" t="s">
        <v>60</v>
      </c>
      <c r="N114" s="39" t="s">
        <v>60</v>
      </c>
    </row>
    <row r="115" spans="1:21" ht="14.25" hidden="1" customHeight="1" outlineLevel="1" thickBot="1">
      <c r="B115" s="335" t="s">
        <v>34</v>
      </c>
      <c r="C115" s="336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</row>
    <row r="116" spans="1:21" ht="14.25" hidden="1" customHeight="1" outlineLevel="1" thickTop="1">
      <c r="B116" s="23"/>
      <c r="C116" s="22" t="s">
        <v>37</v>
      </c>
      <c r="D116" s="22" t="s">
        <v>38</v>
      </c>
      <c r="E116" s="22" t="s">
        <v>39</v>
      </c>
      <c r="F116" s="22" t="s">
        <v>40</v>
      </c>
      <c r="G116" s="22" t="s">
        <v>41</v>
      </c>
      <c r="H116" s="22" t="s">
        <v>42</v>
      </c>
      <c r="I116" s="22" t="s">
        <v>43</v>
      </c>
      <c r="J116" s="22" t="s">
        <v>44</v>
      </c>
      <c r="K116" s="22" t="s">
        <v>45</v>
      </c>
      <c r="L116" s="22" t="s">
        <v>46</v>
      </c>
      <c r="M116" s="22" t="s">
        <v>47</v>
      </c>
      <c r="N116" s="22" t="s">
        <v>48</v>
      </c>
      <c r="O116" s="22" t="s">
        <v>49</v>
      </c>
      <c r="P116" s="22" t="s">
        <v>6</v>
      </c>
      <c r="Q116" s="22" t="s">
        <v>7</v>
      </c>
      <c r="R116" s="22" t="s">
        <v>8</v>
      </c>
      <c r="S116" s="22" t="s">
        <v>9</v>
      </c>
      <c r="T116" s="32" t="s">
        <v>64</v>
      </c>
    </row>
    <row r="117" spans="1:21" ht="14.25" hidden="1" customHeight="1" outlineLevel="1">
      <c r="B117" s="7" t="s">
        <v>13</v>
      </c>
      <c r="C117" s="8">
        <v>1280.6773685449734</v>
      </c>
      <c r="D117" s="8">
        <v>1616.7390670264549</v>
      </c>
      <c r="E117" s="8">
        <v>1988.4875937142858</v>
      </c>
      <c r="F117" s="8">
        <v>1843.2834164285712</v>
      </c>
      <c r="G117" s="8">
        <v>2058.0352335714288</v>
      </c>
      <c r="H117" s="8">
        <v>1816.3320000000001</v>
      </c>
      <c r="I117" s="8">
        <v>2026.4201</v>
      </c>
      <c r="J117" s="8">
        <v>2052.3353900000002</v>
      </c>
      <c r="K117" s="8">
        <v>2067.5329499999998</v>
      </c>
      <c r="L117" s="8">
        <v>1304.46966</v>
      </c>
      <c r="M117" s="8">
        <v>1781.84124857143</v>
      </c>
      <c r="N117" s="8">
        <v>2192.8976499999999</v>
      </c>
      <c r="O117" s="8"/>
      <c r="P117" s="8">
        <v>4885.9040292857144</v>
      </c>
      <c r="Q117" s="8">
        <v>5717.6506500000005</v>
      </c>
      <c r="R117" s="8">
        <v>6146.2884400000003</v>
      </c>
      <c r="S117" s="8">
        <v>5279.2085585714303</v>
      </c>
      <c r="T117" s="8">
        <v>22029.051677857147</v>
      </c>
      <c r="U117" s="28"/>
    </row>
    <row r="118" spans="1:21" ht="14.25" hidden="1" customHeight="1" outlineLevel="1">
      <c r="B118" s="7" t="s">
        <v>14</v>
      </c>
      <c r="C118" s="8">
        <v>286.947</v>
      </c>
      <c r="D118" s="8">
        <v>426.36</v>
      </c>
      <c r="E118" s="8">
        <v>343.89287999999999</v>
      </c>
      <c r="F118" s="8">
        <v>339.83501000000001</v>
      </c>
      <c r="G118" s="8">
        <v>332.84334999999999</v>
      </c>
      <c r="H118" s="8">
        <v>485.99299999999999</v>
      </c>
      <c r="I118" s="8">
        <v>499.56599999999997</v>
      </c>
      <c r="J118" s="8">
        <v>629.51199999999994</v>
      </c>
      <c r="K118" s="8">
        <v>744.774</v>
      </c>
      <c r="L118" s="8">
        <v>385.38430999999997</v>
      </c>
      <c r="M118" s="8">
        <v>455.18299999999999</v>
      </c>
      <c r="N118" s="8">
        <v>556.28951000000006</v>
      </c>
      <c r="P118" s="8">
        <v>1057.1998800000001</v>
      </c>
      <c r="Q118" s="8">
        <v>1158.67136</v>
      </c>
      <c r="R118" s="8">
        <v>1873.8519999999999</v>
      </c>
      <c r="S118" s="8">
        <v>1396.85682</v>
      </c>
      <c r="T118" s="8">
        <v>5486.5800600000002</v>
      </c>
      <c r="U118" s="40"/>
    </row>
    <row r="119" spans="1:21" ht="14.25" hidden="1" customHeight="1" outlineLevel="1">
      <c r="B119" s="7" t="s">
        <v>15</v>
      </c>
      <c r="C119" s="8">
        <v>5</v>
      </c>
      <c r="D119" s="8">
        <v>5</v>
      </c>
      <c r="E119" s="8">
        <v>6</v>
      </c>
      <c r="F119" s="8">
        <v>5</v>
      </c>
      <c r="G119" s="8">
        <v>6</v>
      </c>
      <c r="H119" s="8">
        <v>4</v>
      </c>
      <c r="I119" s="8">
        <v>6</v>
      </c>
      <c r="J119" s="8">
        <v>5</v>
      </c>
      <c r="K119" s="8">
        <v>5</v>
      </c>
      <c r="L119" s="8">
        <v>19</v>
      </c>
      <c r="M119" s="8">
        <v>5</v>
      </c>
      <c r="N119" s="8">
        <v>100.9</v>
      </c>
      <c r="P119" s="8">
        <v>16</v>
      </c>
      <c r="Q119" s="8">
        <v>15</v>
      </c>
      <c r="R119" s="8">
        <v>16</v>
      </c>
      <c r="S119" s="8">
        <v>124.9</v>
      </c>
      <c r="T119" s="8">
        <v>171.9</v>
      </c>
      <c r="U119" s="28"/>
    </row>
    <row r="120" spans="1:21" ht="14.25" hidden="1" customHeight="1" outlineLevel="1">
      <c r="B120" s="7" t="s">
        <v>16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40"/>
    </row>
    <row r="121" spans="1:21" ht="14.25" hidden="1" customHeight="1" outlineLevel="1">
      <c r="B121" s="7" t="s">
        <v>17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40"/>
    </row>
    <row r="122" spans="1:21" ht="14.25" hidden="1" customHeight="1" outlineLevel="1">
      <c r="B122" s="7" t="s">
        <v>18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40"/>
    </row>
    <row r="123" spans="1:21" ht="14.25" hidden="1" customHeight="1" outlineLevel="1">
      <c r="B123" s="7" t="s">
        <v>19</v>
      </c>
      <c r="C123" s="8">
        <v>19</v>
      </c>
      <c r="D123" s="8">
        <v>19</v>
      </c>
      <c r="E123" s="8">
        <v>20</v>
      </c>
      <c r="F123" s="8">
        <v>0</v>
      </c>
      <c r="G123" s="8">
        <v>38</v>
      </c>
      <c r="H123" s="8">
        <v>20</v>
      </c>
      <c r="I123" s="8">
        <v>19</v>
      </c>
      <c r="J123" s="8">
        <v>19</v>
      </c>
      <c r="K123" s="8">
        <v>19</v>
      </c>
      <c r="L123" s="8">
        <v>0</v>
      </c>
      <c r="M123" s="8">
        <v>0</v>
      </c>
      <c r="N123" s="8">
        <v>0</v>
      </c>
      <c r="P123" s="8">
        <v>58</v>
      </c>
      <c r="Q123" s="8">
        <v>58</v>
      </c>
      <c r="R123" s="8">
        <v>57</v>
      </c>
      <c r="S123" s="8">
        <v>0</v>
      </c>
      <c r="T123" s="8">
        <v>173</v>
      </c>
    </row>
    <row r="124" spans="1:21" ht="14.25" hidden="1" customHeight="1" outlineLevel="1">
      <c r="B124" s="7" t="s">
        <v>20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</row>
    <row r="125" spans="1:21" ht="14.25" hidden="1" customHeight="1" outlineLevel="1">
      <c r="B125" s="11" t="s">
        <v>22</v>
      </c>
      <c r="C125" s="12">
        <v>1591.6243685449735</v>
      </c>
      <c r="D125" s="12">
        <v>2067.099067026455</v>
      </c>
      <c r="E125" s="12">
        <v>2358.3804737142859</v>
      </c>
      <c r="F125" s="12">
        <v>2188.1184264285712</v>
      </c>
      <c r="G125" s="12">
        <v>2434.8785835714289</v>
      </c>
      <c r="H125" s="12">
        <v>2326.3250000000003</v>
      </c>
      <c r="I125" s="12">
        <v>2550.9861000000001</v>
      </c>
      <c r="J125" s="12">
        <v>2705.8473899999999</v>
      </c>
      <c r="K125" s="12">
        <v>2836.3069499999997</v>
      </c>
      <c r="L125" s="12">
        <v>1708.8539699999999</v>
      </c>
      <c r="M125" s="12">
        <v>2242.0242485714298</v>
      </c>
      <c r="N125" s="12">
        <v>2850.08716</v>
      </c>
      <c r="P125" s="12">
        <v>6017.1039092857145</v>
      </c>
      <c r="Q125" s="12">
        <v>6949.3220100000008</v>
      </c>
      <c r="R125" s="12">
        <v>8093.1404400000001</v>
      </c>
      <c r="S125" s="12">
        <v>6800.9653785714299</v>
      </c>
      <c r="T125" s="12">
        <v>27860.531737857149</v>
      </c>
    </row>
    <row r="126" spans="1:21" ht="14.25" hidden="1" customHeight="1" outlineLevel="1">
      <c r="B126" s="19"/>
      <c r="C126" s="20"/>
      <c r="D126" s="20"/>
      <c r="E126" s="20"/>
      <c r="F126" s="20"/>
      <c r="G126" s="21"/>
      <c r="H126" s="20"/>
      <c r="I126" s="20"/>
      <c r="J126" s="20"/>
      <c r="K126" s="20"/>
      <c r="L126" s="20"/>
      <c r="M126" s="20"/>
      <c r="N126" s="20"/>
      <c r="P126" s="20"/>
      <c r="Q126" s="20"/>
      <c r="R126" s="20"/>
      <c r="S126" s="20"/>
      <c r="T126" s="20"/>
    </row>
    <row r="127" spans="1:21" ht="14.25" hidden="1" customHeight="1" outlineLevel="1">
      <c r="B127" s="7" t="s">
        <v>23</v>
      </c>
      <c r="C127" s="8">
        <v>474.65</v>
      </c>
      <c r="D127" s="8">
        <v>549</v>
      </c>
      <c r="E127" s="8">
        <v>524</v>
      </c>
      <c r="F127" s="8">
        <v>259</v>
      </c>
      <c r="G127" s="8">
        <v>551</v>
      </c>
      <c r="H127" s="8">
        <v>711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1249.0047299999999</v>
      </c>
      <c r="P127" s="8">
        <v>1547.65</v>
      </c>
      <c r="Q127" s="8">
        <v>1521</v>
      </c>
      <c r="R127" s="8">
        <v>0</v>
      </c>
      <c r="S127" s="8">
        <v>1249.0047299999999</v>
      </c>
      <c r="T127" s="8">
        <v>4317.6547300000002</v>
      </c>
    </row>
    <row r="128" spans="1:21" ht="14.25" hidden="1" customHeight="1" outlineLevel="1">
      <c r="C128" s="8"/>
      <c r="D128" s="8"/>
      <c r="E128" s="8"/>
      <c r="F128" s="8"/>
      <c r="G128" s="10"/>
      <c r="H128" s="8"/>
      <c r="I128" s="8"/>
      <c r="J128" s="8"/>
      <c r="K128" s="8"/>
      <c r="L128" s="8"/>
      <c r="M128" s="8"/>
      <c r="N128" s="8"/>
      <c r="P128" s="8"/>
      <c r="Q128" s="8"/>
      <c r="R128" s="8"/>
      <c r="S128" s="8"/>
      <c r="T128" s="8"/>
    </row>
    <row r="129" spans="1:20" ht="14.25" hidden="1" customHeight="1" outlineLevel="1" thickBot="1">
      <c r="B129" s="36" t="s">
        <v>51</v>
      </c>
      <c r="C129" s="41">
        <v>2066.2743685449736</v>
      </c>
      <c r="D129" s="41">
        <v>2616.099067026455</v>
      </c>
      <c r="E129" s="41">
        <v>2882.3804737142859</v>
      </c>
      <c r="F129" s="41">
        <v>2447.1184264285712</v>
      </c>
      <c r="G129" s="41">
        <v>2985.8785835714289</v>
      </c>
      <c r="H129" s="41">
        <v>3037.3250000000003</v>
      </c>
      <c r="I129" s="41">
        <v>2550.9861000000001</v>
      </c>
      <c r="J129" s="41">
        <v>2705.8473899999999</v>
      </c>
      <c r="K129" s="41">
        <v>2836.3069499999997</v>
      </c>
      <c r="L129" s="41">
        <v>1708.8539699999999</v>
      </c>
      <c r="M129" s="41">
        <v>2242.0242485714298</v>
      </c>
      <c r="N129" s="41">
        <v>4099.0918899999997</v>
      </c>
      <c r="P129" s="41">
        <v>7564.7539092857151</v>
      </c>
      <c r="Q129" s="41">
        <v>8470.3220099999999</v>
      </c>
      <c r="R129" s="41">
        <v>8093.1404400000001</v>
      </c>
      <c r="S129" s="41">
        <v>8049.9701085714296</v>
      </c>
      <c r="T129" s="41">
        <v>32178.186467857151</v>
      </c>
    </row>
    <row r="130" spans="1:20" ht="14.25" hidden="1" customHeight="1" outlineLevel="1" thickTop="1"/>
    <row r="131" spans="1:20" ht="14.25" hidden="1" customHeight="1" outlineLevel="1">
      <c r="T131" s="8"/>
    </row>
    <row r="132" spans="1:20" ht="14.25" hidden="1" customHeight="1" outlineLevel="1"/>
    <row r="133" spans="1:20" ht="14.25" hidden="1" customHeight="1" outlineLevel="1"/>
    <row r="134" spans="1:20" ht="14.25" hidden="1" customHeight="1" outlineLevel="1"/>
    <row r="135" spans="1:20" ht="14.25" hidden="1" customHeight="1" outlineLevel="1">
      <c r="A135" s="30" t="s">
        <v>65</v>
      </c>
      <c r="C135" s="39" t="s">
        <v>66</v>
      </c>
      <c r="D135" s="39" t="s">
        <v>66</v>
      </c>
      <c r="E135" s="39" t="s">
        <v>66</v>
      </c>
      <c r="F135" s="39" t="s">
        <v>66</v>
      </c>
      <c r="G135" s="39" t="s">
        <v>66</v>
      </c>
      <c r="H135" s="39" t="s">
        <v>66</v>
      </c>
      <c r="I135" s="39" t="s">
        <v>66</v>
      </c>
      <c r="J135" s="39" t="s">
        <v>66</v>
      </c>
      <c r="K135" s="39" t="s">
        <v>66</v>
      </c>
      <c r="L135" s="39" t="s">
        <v>63</v>
      </c>
      <c r="M135" s="39" t="s">
        <v>63</v>
      </c>
      <c r="N135" s="39" t="s">
        <v>63</v>
      </c>
    </row>
    <row r="136" spans="1:20" ht="14.25" hidden="1" customHeight="1" outlineLevel="1" thickBot="1">
      <c r="B136" s="335" t="s">
        <v>34</v>
      </c>
      <c r="C136" s="336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</row>
    <row r="137" spans="1:20" ht="14.25" hidden="1" customHeight="1" outlineLevel="1" thickTop="1">
      <c r="B137" s="23"/>
      <c r="C137" s="22" t="s">
        <v>37</v>
      </c>
      <c r="D137" s="22" t="s">
        <v>38</v>
      </c>
      <c r="E137" s="22" t="s">
        <v>39</v>
      </c>
      <c r="F137" s="22" t="s">
        <v>40</v>
      </c>
      <c r="G137" s="22" t="s">
        <v>41</v>
      </c>
      <c r="H137" s="22" t="s">
        <v>42</v>
      </c>
      <c r="I137" s="22" t="s">
        <v>43</v>
      </c>
      <c r="J137" s="22" t="s">
        <v>44</v>
      </c>
      <c r="K137" s="22" t="s">
        <v>45</v>
      </c>
      <c r="L137" s="22" t="s">
        <v>46</v>
      </c>
      <c r="M137" s="22" t="s">
        <v>47</v>
      </c>
      <c r="N137" s="22" t="s">
        <v>48</v>
      </c>
      <c r="O137" s="22" t="s">
        <v>49</v>
      </c>
      <c r="P137" s="22" t="s">
        <v>6</v>
      </c>
      <c r="Q137" s="22" t="s">
        <v>7</v>
      </c>
      <c r="R137" s="22" t="s">
        <v>8</v>
      </c>
      <c r="S137" s="22" t="s">
        <v>9</v>
      </c>
      <c r="T137" s="32" t="s">
        <v>67</v>
      </c>
    </row>
    <row r="138" spans="1:20" ht="14.25" hidden="1" customHeight="1" outlineLevel="1">
      <c r="B138" s="7" t="s">
        <v>13</v>
      </c>
      <c r="C138" s="8">
        <v>1232.9411764705883</v>
      </c>
      <c r="D138" s="8">
        <v>1480</v>
      </c>
      <c r="E138" s="8">
        <v>1211.7647058823529</v>
      </c>
      <c r="F138" s="8">
        <v>1572.5018300000002</v>
      </c>
      <c r="G138" s="8">
        <v>1128.1563999999998</v>
      </c>
      <c r="H138" s="8">
        <v>1568.9786200000001</v>
      </c>
      <c r="I138" s="8">
        <v>1825.2091599999999</v>
      </c>
      <c r="J138" s="8">
        <v>1851.0867499999999</v>
      </c>
      <c r="K138" s="8">
        <v>2028.72047</v>
      </c>
      <c r="L138" s="8">
        <v>938.07716000000005</v>
      </c>
      <c r="M138" s="8">
        <v>1164.48631</v>
      </c>
      <c r="N138" s="8">
        <v>1319.5514599999999</v>
      </c>
      <c r="O138" s="8"/>
      <c r="P138" s="8">
        <v>3924.7058823529414</v>
      </c>
      <c r="Q138" s="8">
        <v>4269.6368499999999</v>
      </c>
      <c r="R138" s="8">
        <v>5705.01638</v>
      </c>
      <c r="S138" s="8">
        <v>3422.1149299999997</v>
      </c>
      <c r="T138" s="8">
        <v>17321.47404235294</v>
      </c>
    </row>
    <row r="139" spans="1:20" ht="14.25" hidden="1" customHeight="1" outlineLevel="1">
      <c r="B139" s="7" t="s">
        <v>14</v>
      </c>
      <c r="C139" s="8">
        <v>63</v>
      </c>
      <c r="D139" s="8">
        <v>87</v>
      </c>
      <c r="E139" s="8">
        <v>148</v>
      </c>
      <c r="F139" s="8">
        <v>116.18022999999999</v>
      </c>
      <c r="G139" s="8">
        <v>159.74883</v>
      </c>
      <c r="H139" s="8">
        <v>591.12605000000008</v>
      </c>
      <c r="I139" s="8">
        <v>275.63864000000001</v>
      </c>
      <c r="J139" s="8">
        <v>234.32077999999998</v>
      </c>
      <c r="K139" s="8">
        <v>370.59085999999996</v>
      </c>
      <c r="L139" s="8">
        <v>215.45041000000001</v>
      </c>
      <c r="M139" s="8">
        <v>172.75514000000001</v>
      </c>
      <c r="N139" s="8">
        <v>321.41533000000004</v>
      </c>
      <c r="O139" s="15"/>
      <c r="P139" s="8">
        <v>298</v>
      </c>
      <c r="Q139" s="8">
        <v>867.05511000000001</v>
      </c>
      <c r="R139" s="8">
        <v>880.55027999999993</v>
      </c>
      <c r="S139" s="8">
        <v>709.62088000000006</v>
      </c>
      <c r="T139" s="8">
        <v>2755.2262700000001</v>
      </c>
    </row>
    <row r="140" spans="1:20" ht="14.25" hidden="1" customHeight="1" outlineLevel="1">
      <c r="B140" s="7" t="s">
        <v>15</v>
      </c>
      <c r="C140" s="8">
        <v>0</v>
      </c>
      <c r="D140" s="8">
        <v>0</v>
      </c>
      <c r="E140" s="8">
        <v>0</v>
      </c>
      <c r="F140" s="8">
        <v>10</v>
      </c>
      <c r="G140" s="8">
        <v>9</v>
      </c>
      <c r="H140" s="8">
        <v>10</v>
      </c>
      <c r="I140" s="8">
        <v>9</v>
      </c>
      <c r="J140" s="8">
        <v>6</v>
      </c>
      <c r="K140" s="8">
        <v>7</v>
      </c>
      <c r="L140" s="8">
        <v>5</v>
      </c>
      <c r="M140" s="8">
        <v>6</v>
      </c>
      <c r="N140" s="8">
        <v>6</v>
      </c>
      <c r="O140" s="15"/>
      <c r="P140" s="8">
        <v>0</v>
      </c>
      <c r="Q140" s="8">
        <v>29</v>
      </c>
      <c r="R140" s="8">
        <v>22</v>
      </c>
      <c r="S140" s="8">
        <v>17</v>
      </c>
      <c r="T140" s="8">
        <v>68</v>
      </c>
    </row>
    <row r="141" spans="1:20" ht="14.25" hidden="1" customHeight="1" outlineLevel="1">
      <c r="B141" s="7" t="s">
        <v>19</v>
      </c>
      <c r="C141" s="8">
        <v>0</v>
      </c>
      <c r="D141" s="8">
        <v>0</v>
      </c>
      <c r="E141" s="8">
        <v>49</v>
      </c>
      <c r="F141" s="8">
        <v>0</v>
      </c>
      <c r="G141" s="8">
        <v>33</v>
      </c>
      <c r="H141" s="8">
        <v>16</v>
      </c>
      <c r="I141" s="8">
        <v>17</v>
      </c>
      <c r="J141" s="8">
        <v>17</v>
      </c>
      <c r="K141" s="8">
        <v>17</v>
      </c>
      <c r="L141" s="8">
        <v>19</v>
      </c>
      <c r="M141" s="8">
        <v>19</v>
      </c>
      <c r="N141" s="8">
        <v>19</v>
      </c>
      <c r="O141" s="15"/>
      <c r="P141" s="8">
        <v>49</v>
      </c>
      <c r="Q141" s="8">
        <v>49</v>
      </c>
      <c r="R141" s="8">
        <v>51</v>
      </c>
      <c r="S141" s="8">
        <v>57</v>
      </c>
      <c r="T141" s="8">
        <v>206</v>
      </c>
    </row>
    <row r="142" spans="1:20" ht="14.25" hidden="1" customHeight="1" outlineLevel="1">
      <c r="B142" s="7" t="s">
        <v>20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15"/>
      <c r="P142" s="8">
        <v>0</v>
      </c>
      <c r="Q142" s="8">
        <v>0</v>
      </c>
      <c r="R142" s="8">
        <v>0</v>
      </c>
      <c r="S142" s="8">
        <v>0</v>
      </c>
      <c r="T142" s="8">
        <v>0</v>
      </c>
    </row>
    <row r="143" spans="1:20" ht="14.25" hidden="1" customHeight="1" outlineLevel="1">
      <c r="B143" s="11" t="s">
        <v>22</v>
      </c>
      <c r="C143" s="12">
        <v>1295.9411764705883</v>
      </c>
      <c r="D143" s="12">
        <v>1567</v>
      </c>
      <c r="E143" s="12">
        <v>1408.7647058823529</v>
      </c>
      <c r="F143" s="12">
        <v>1698.6820600000001</v>
      </c>
      <c r="G143" s="12">
        <v>1329.9052299999998</v>
      </c>
      <c r="H143" s="12">
        <v>2186.1046700000002</v>
      </c>
      <c r="I143" s="12">
        <v>2126.8478</v>
      </c>
      <c r="J143" s="12">
        <v>2108.40753</v>
      </c>
      <c r="K143" s="12">
        <v>2423.31133</v>
      </c>
      <c r="L143" s="12">
        <v>1177.52757</v>
      </c>
      <c r="M143" s="12">
        <v>1362.24145</v>
      </c>
      <c r="N143" s="12">
        <v>1665.9667899999999</v>
      </c>
      <c r="O143" s="15"/>
      <c r="P143" s="12">
        <v>4271.7058823529414</v>
      </c>
      <c r="Q143" s="12">
        <v>5214.6919600000001</v>
      </c>
      <c r="R143" s="12">
        <v>6658.5666600000004</v>
      </c>
      <c r="S143" s="12">
        <v>4205.7358100000001</v>
      </c>
      <c r="T143" s="12">
        <v>20350.700312352939</v>
      </c>
    </row>
    <row r="144" spans="1:20" ht="14.25" hidden="1" customHeight="1" outlineLevel="1">
      <c r="B144" s="19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15"/>
      <c r="P144" s="20"/>
      <c r="Q144" s="20"/>
      <c r="R144" s="20"/>
      <c r="S144" s="20"/>
      <c r="T144" s="20"/>
    </row>
    <row r="145" spans="1:20" ht="14.25" hidden="1" customHeight="1" outlineLevel="1">
      <c r="B145" s="7" t="s">
        <v>23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660.82215000000008</v>
      </c>
      <c r="L145" s="8">
        <v>937.88161000000002</v>
      </c>
      <c r="M145" s="8">
        <v>663.73199999999997</v>
      </c>
      <c r="N145" s="8">
        <v>1237.56441</v>
      </c>
      <c r="O145" s="15"/>
      <c r="P145" s="8">
        <v>0</v>
      </c>
      <c r="Q145" s="8">
        <v>0</v>
      </c>
      <c r="R145" s="8">
        <v>660.82215000000008</v>
      </c>
      <c r="S145" s="8">
        <v>2839.1780199999998</v>
      </c>
      <c r="T145" s="8">
        <v>3500.0001699999998</v>
      </c>
    </row>
    <row r="146" spans="1:20" ht="14.25" hidden="1" customHeight="1" outlineLevel="1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5"/>
      <c r="P146" s="8"/>
      <c r="Q146" s="8"/>
      <c r="R146" s="8"/>
      <c r="S146" s="8"/>
      <c r="T146" s="8"/>
    </row>
    <row r="147" spans="1:20" ht="14.25" hidden="1" customHeight="1" outlineLevel="1" thickBot="1">
      <c r="B147" s="36" t="s">
        <v>51</v>
      </c>
      <c r="C147" s="41">
        <v>1295.9411764705883</v>
      </c>
      <c r="D147" s="41">
        <v>1567</v>
      </c>
      <c r="E147" s="41">
        <v>1408.7647058823529</v>
      </c>
      <c r="F147" s="41">
        <v>1698.6820600000001</v>
      </c>
      <c r="G147" s="41">
        <v>1329.9052299999998</v>
      </c>
      <c r="H147" s="41">
        <v>2186.1046700000002</v>
      </c>
      <c r="I147" s="41">
        <v>2126.8478</v>
      </c>
      <c r="J147" s="41">
        <v>2108.40753</v>
      </c>
      <c r="K147" s="41">
        <v>3084.13348</v>
      </c>
      <c r="L147" s="41">
        <v>2115.4091800000001</v>
      </c>
      <c r="M147" s="41">
        <v>2025.97345</v>
      </c>
      <c r="N147" s="41">
        <v>2903.5311999999999</v>
      </c>
      <c r="O147" s="15"/>
      <c r="P147" s="41">
        <v>4271.7058823529414</v>
      </c>
      <c r="Q147" s="41">
        <v>5214.6919600000001</v>
      </c>
      <c r="R147" s="41">
        <v>7319.3888100000004</v>
      </c>
      <c r="S147" s="41">
        <v>7044.9138299999995</v>
      </c>
      <c r="T147" s="41">
        <v>23850.700482352939</v>
      </c>
    </row>
    <row r="148" spans="1:20" ht="14.25" hidden="1" customHeight="1" outlineLevel="1" thickTop="1">
      <c r="A148" t="s">
        <v>31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14.25" customHeight="1" collapsed="1"/>
    <row r="150" spans="1:20" ht="14.25" customHeight="1"/>
    <row r="151" spans="1:20" ht="14.25" customHeight="1"/>
    <row r="152" spans="1:20" ht="14.25" customHeight="1"/>
    <row r="153" spans="1:20" ht="14.25" customHeight="1">
      <c r="K153" s="167"/>
    </row>
    <row r="154" spans="1:20" ht="14.25" customHeight="1">
      <c r="K154" s="166"/>
    </row>
    <row r="155" spans="1:20" ht="14.25" customHeight="1">
      <c r="K155" s="166"/>
    </row>
    <row r="156" spans="1:20" ht="14.25" customHeight="1">
      <c r="K156" s="166"/>
    </row>
    <row r="157" spans="1:20" ht="14.25" customHeight="1"/>
    <row r="158" spans="1:20" ht="14.25" customHeight="1"/>
    <row r="159" spans="1:20" ht="14.25" customHeight="1"/>
    <row r="160" spans="1:2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</sheetData>
  <mergeCells count="6">
    <mergeCell ref="B4:T4"/>
    <mergeCell ref="B76:T76"/>
    <mergeCell ref="B96:T96"/>
    <mergeCell ref="B115:T115"/>
    <mergeCell ref="B136:T136"/>
    <mergeCell ref="B57:T57"/>
  </mergeCells>
  <pageMargins left="0.7" right="0.7" top="0.75" bottom="0.75" header="0" footer="0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2"/>
  <sheetViews>
    <sheetView topLeftCell="A22" zoomScaleNormal="100" workbookViewId="0">
      <selection activeCell="J39" sqref="J39"/>
    </sheetView>
  </sheetViews>
  <sheetFormatPr defaultColWidth="14.42578125" defaultRowHeight="15" customHeight="1"/>
  <cols>
    <col min="1" max="1" width="5" customWidth="1"/>
    <col min="2" max="2" width="23.42578125" customWidth="1"/>
  </cols>
  <sheetData>
    <row r="1" spans="1:22" hidden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idden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idden="1">
      <c r="A3" s="18"/>
      <c r="B3" s="18"/>
      <c r="C3" s="42">
        <v>44927</v>
      </c>
      <c r="D3" s="42">
        <f t="shared" ref="D3:N3" si="0">EDATE(C3,1)</f>
        <v>44958</v>
      </c>
      <c r="E3" s="42">
        <f t="shared" si="0"/>
        <v>44986</v>
      </c>
      <c r="F3" s="42">
        <f t="shared" si="0"/>
        <v>45017</v>
      </c>
      <c r="G3" s="42">
        <f t="shared" si="0"/>
        <v>45047</v>
      </c>
      <c r="H3" s="42">
        <f t="shared" si="0"/>
        <v>45078</v>
      </c>
      <c r="I3" s="42">
        <f t="shared" si="0"/>
        <v>45108</v>
      </c>
      <c r="J3" s="42">
        <f t="shared" si="0"/>
        <v>45139</v>
      </c>
      <c r="K3" s="42">
        <f t="shared" si="0"/>
        <v>45170</v>
      </c>
      <c r="L3" s="42">
        <f t="shared" si="0"/>
        <v>45200</v>
      </c>
      <c r="M3" s="42">
        <f t="shared" si="0"/>
        <v>45231</v>
      </c>
      <c r="N3" s="42">
        <f t="shared" si="0"/>
        <v>45261</v>
      </c>
      <c r="O3" s="18"/>
      <c r="P3" s="18"/>
      <c r="Q3" s="18"/>
      <c r="R3" s="18"/>
      <c r="S3" s="18"/>
      <c r="T3" s="18"/>
      <c r="U3" s="18"/>
      <c r="V3" s="18"/>
    </row>
    <row r="4" spans="1:22" hidden="1">
      <c r="A4" s="43" t="s">
        <v>68</v>
      </c>
      <c r="B4" s="43" t="s">
        <v>58</v>
      </c>
      <c r="C4" s="29">
        <f>((148269+1199526)/0.85)-360000+90600</f>
        <v>1316241.1764705882</v>
      </c>
      <c r="D4" s="29">
        <f>1453456-349983</f>
        <v>1103473</v>
      </c>
      <c r="E4" s="29">
        <v>1810286.26</v>
      </c>
      <c r="F4" s="33">
        <f>1289395.39-267800</f>
        <v>1021595.3899999999</v>
      </c>
      <c r="G4" s="33">
        <v>1668664.02</v>
      </c>
      <c r="H4" s="33">
        <v>1602686.98</v>
      </c>
      <c r="I4" s="33">
        <v>1258506.25</v>
      </c>
      <c r="J4" s="33">
        <v>1078983.22</v>
      </c>
      <c r="K4" s="33">
        <v>881752.98</v>
      </c>
      <c r="L4" s="33">
        <v>679287.34</v>
      </c>
      <c r="M4" s="33">
        <v>802245.34</v>
      </c>
      <c r="N4" s="33">
        <v>644614.93000000005</v>
      </c>
      <c r="O4" s="18"/>
      <c r="P4" s="18"/>
      <c r="Q4" s="18"/>
      <c r="R4" s="18"/>
      <c r="S4" s="18"/>
      <c r="T4" s="18"/>
      <c r="U4" s="18"/>
      <c r="V4" s="18"/>
    </row>
    <row r="5" spans="1:22" hidden="1">
      <c r="A5" s="43" t="s">
        <v>68</v>
      </c>
      <c r="B5" s="43" t="s">
        <v>14</v>
      </c>
      <c r="C5" s="29">
        <v>216317</v>
      </c>
      <c r="D5" s="29">
        <v>488942.63</v>
      </c>
      <c r="E5" s="29">
        <f>1028522-366849</f>
        <v>661673</v>
      </c>
      <c r="F5" s="29">
        <f>978214-219055</f>
        <v>759159</v>
      </c>
      <c r="G5" s="29">
        <f>1241981-300719-2728</f>
        <v>938534</v>
      </c>
      <c r="H5" s="29">
        <f>730105-185741-1106</f>
        <v>543258</v>
      </c>
      <c r="I5" s="29"/>
      <c r="J5" s="29"/>
      <c r="K5" s="29"/>
      <c r="L5" s="29"/>
      <c r="M5" s="29"/>
      <c r="N5" s="29"/>
      <c r="O5" s="18"/>
      <c r="P5" s="18"/>
      <c r="Q5" s="18"/>
      <c r="R5" s="18"/>
      <c r="S5" s="18"/>
      <c r="T5" s="18"/>
      <c r="U5" s="18"/>
      <c r="V5" s="18"/>
    </row>
    <row r="6" spans="1:22" hidden="1">
      <c r="A6" s="43"/>
      <c r="B6" s="18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18"/>
      <c r="P6" s="18"/>
      <c r="Q6" s="18"/>
      <c r="R6" s="18"/>
      <c r="S6" s="18"/>
      <c r="T6" s="18"/>
      <c r="U6" s="18"/>
      <c r="V6" s="18"/>
    </row>
    <row r="7" spans="1:22" hidden="1">
      <c r="A7" s="43" t="s">
        <v>69</v>
      </c>
      <c r="B7" s="43" t="s">
        <v>58</v>
      </c>
      <c r="C7" s="29">
        <f>((148269+1199526)/0.85)-360000+90600</f>
        <v>1316241.1764705882</v>
      </c>
      <c r="D7" s="29">
        <f>1453456-349983</f>
        <v>1103473</v>
      </c>
      <c r="E7" s="29">
        <v>1810286.26</v>
      </c>
      <c r="F7" s="33">
        <f>1289395.39-267800</f>
        <v>1021595.3899999999</v>
      </c>
      <c r="G7" s="33">
        <v>1668664.02</v>
      </c>
      <c r="H7" s="34">
        <v>1605194.4240000001</v>
      </c>
      <c r="I7" s="34">
        <v>1557719.12</v>
      </c>
      <c r="J7" s="34">
        <v>1632111</v>
      </c>
      <c r="K7" s="34">
        <v>1303641.33</v>
      </c>
      <c r="L7" s="34">
        <v>1005655.58</v>
      </c>
      <c r="M7" s="34">
        <v>1070083.48</v>
      </c>
      <c r="N7" s="34">
        <v>840279.85</v>
      </c>
      <c r="O7" s="18"/>
      <c r="P7" s="18"/>
      <c r="Q7" s="18"/>
      <c r="R7" s="18"/>
      <c r="S7" s="18"/>
      <c r="T7" s="18"/>
      <c r="U7" s="18"/>
      <c r="V7" s="18"/>
    </row>
    <row r="8" spans="1:22" hidden="1">
      <c r="A8" s="43" t="s">
        <v>69</v>
      </c>
      <c r="B8" s="43" t="s">
        <v>14</v>
      </c>
      <c r="C8" s="29">
        <v>216317</v>
      </c>
      <c r="D8" s="29">
        <v>488942.63</v>
      </c>
      <c r="E8" s="29">
        <f>1028522-366849</f>
        <v>661673</v>
      </c>
      <c r="F8" s="29">
        <f>978214-219055</f>
        <v>759159</v>
      </c>
      <c r="G8" s="29">
        <f>1241981-300719-2728</f>
        <v>938534</v>
      </c>
      <c r="H8" s="29">
        <f>932277-229153-1780</f>
        <v>701344</v>
      </c>
      <c r="I8" s="29">
        <f>1101367-244521-2222</f>
        <v>854624</v>
      </c>
      <c r="J8" s="29">
        <f>233067-40195-549</f>
        <v>192323</v>
      </c>
      <c r="K8" s="29"/>
      <c r="L8" s="29"/>
      <c r="M8" s="29"/>
      <c r="N8" s="29"/>
      <c r="O8" s="18"/>
      <c r="P8" s="18"/>
      <c r="Q8" s="18"/>
      <c r="R8" s="18"/>
      <c r="S8" s="18"/>
      <c r="T8" s="18"/>
      <c r="U8" s="18"/>
      <c r="V8" s="18"/>
    </row>
    <row r="9" spans="1:22" hidden="1">
      <c r="A9" s="43"/>
      <c r="B9" s="18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18"/>
      <c r="P9" s="18"/>
      <c r="Q9" s="18"/>
      <c r="R9" s="18"/>
      <c r="S9" s="18"/>
      <c r="T9" s="18"/>
      <c r="U9" s="18"/>
      <c r="V9" s="18"/>
    </row>
    <row r="10" spans="1:22" hidden="1">
      <c r="A10" s="43" t="s">
        <v>25</v>
      </c>
      <c r="B10" s="43" t="s">
        <v>58</v>
      </c>
      <c r="C10" s="45">
        <f t="shared" ref="C10:N10" si="1">C4-C7</f>
        <v>0</v>
      </c>
      <c r="D10" s="45">
        <f t="shared" si="1"/>
        <v>0</v>
      </c>
      <c r="E10" s="45">
        <f t="shared" si="1"/>
        <v>0</v>
      </c>
      <c r="F10" s="45">
        <f t="shared" si="1"/>
        <v>0</v>
      </c>
      <c r="G10" s="45">
        <f t="shared" si="1"/>
        <v>0</v>
      </c>
      <c r="H10" s="45">
        <f t="shared" si="1"/>
        <v>-2507.4440000001341</v>
      </c>
      <c r="I10" s="45">
        <f t="shared" si="1"/>
        <v>-299212.87000000011</v>
      </c>
      <c r="J10" s="45">
        <f t="shared" si="1"/>
        <v>-553127.78</v>
      </c>
      <c r="K10" s="45">
        <f t="shared" si="1"/>
        <v>-421888.35000000009</v>
      </c>
      <c r="L10" s="45">
        <f t="shared" si="1"/>
        <v>-326368.24</v>
      </c>
      <c r="M10" s="45">
        <f t="shared" si="1"/>
        <v>-267838.14</v>
      </c>
      <c r="N10" s="45">
        <f t="shared" si="1"/>
        <v>-195664.91999999993</v>
      </c>
      <c r="O10" s="18"/>
      <c r="P10" s="18"/>
      <c r="Q10" s="18"/>
      <c r="R10" s="18"/>
      <c r="S10" s="18"/>
      <c r="T10" s="18"/>
      <c r="U10" s="18"/>
      <c r="V10" s="18"/>
    </row>
    <row r="11" spans="1:22" hidden="1">
      <c r="A11" s="18"/>
      <c r="B11" s="43" t="s">
        <v>14</v>
      </c>
      <c r="C11" s="45">
        <f t="shared" ref="C11:N11" si="2">C5-C8</f>
        <v>0</v>
      </c>
      <c r="D11" s="45">
        <f t="shared" si="2"/>
        <v>0</v>
      </c>
      <c r="E11" s="45">
        <f t="shared" si="2"/>
        <v>0</v>
      </c>
      <c r="F11" s="45">
        <f t="shared" si="2"/>
        <v>0</v>
      </c>
      <c r="G11" s="45">
        <f t="shared" si="2"/>
        <v>0</v>
      </c>
      <c r="H11" s="45">
        <f t="shared" si="2"/>
        <v>-158086</v>
      </c>
      <c r="I11" s="45">
        <f t="shared" si="2"/>
        <v>-854624</v>
      </c>
      <c r="J11" s="45">
        <f t="shared" si="2"/>
        <v>-192323</v>
      </c>
      <c r="K11" s="45">
        <f t="shared" si="2"/>
        <v>0</v>
      </c>
      <c r="L11" s="45">
        <f t="shared" si="2"/>
        <v>0</v>
      </c>
      <c r="M11" s="45">
        <f t="shared" si="2"/>
        <v>0</v>
      </c>
      <c r="N11" s="45">
        <f t="shared" si="2"/>
        <v>0</v>
      </c>
      <c r="O11" s="18"/>
      <c r="P11" s="18"/>
      <c r="Q11" s="18"/>
      <c r="R11" s="18"/>
      <c r="S11" s="18"/>
      <c r="T11" s="18"/>
      <c r="U11" s="18"/>
      <c r="V11" s="18"/>
    </row>
    <row r="12" spans="1:22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>
      <c r="A16" s="46"/>
      <c r="B16" s="47" t="s">
        <v>70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18"/>
      <c r="P16" s="18"/>
      <c r="Q16" s="18"/>
      <c r="R16" s="18"/>
      <c r="S16" s="18"/>
      <c r="T16" s="18"/>
      <c r="U16" s="18"/>
      <c r="V16" s="18"/>
    </row>
    <row r="17" spans="1:22">
      <c r="A17" s="18"/>
      <c r="B17" s="18"/>
      <c r="C17" s="48" t="s">
        <v>6</v>
      </c>
      <c r="D17" s="48" t="s">
        <v>7</v>
      </c>
      <c r="E17" s="48" t="s">
        <v>8</v>
      </c>
      <c r="F17" s="48" t="s">
        <v>9</v>
      </c>
      <c r="G17" s="49" t="s">
        <v>71</v>
      </c>
      <c r="H17" s="18"/>
      <c r="I17" s="50" t="s">
        <v>72</v>
      </c>
      <c r="J17" s="51">
        <v>-36.700000000000003</v>
      </c>
      <c r="K17" s="50" t="s">
        <v>73</v>
      </c>
      <c r="L17" s="49"/>
      <c r="M17" s="49"/>
      <c r="N17" s="18"/>
      <c r="O17" s="18"/>
      <c r="P17" s="18"/>
      <c r="Q17" s="18"/>
      <c r="R17" s="18"/>
      <c r="S17" s="18"/>
      <c r="T17" s="18"/>
      <c r="U17" s="18"/>
      <c r="V17" s="18"/>
    </row>
    <row r="18" spans="1:22">
      <c r="A18" s="18"/>
      <c r="B18" s="52" t="s">
        <v>74</v>
      </c>
      <c r="C18" s="53">
        <v>7993.8983900000003</v>
      </c>
      <c r="D18" s="53">
        <v>8156.1595200000011</v>
      </c>
      <c r="E18" s="53">
        <v>8942.3971399999991</v>
      </c>
      <c r="F18" s="53">
        <v>5427.4890966666671</v>
      </c>
      <c r="G18" s="53">
        <v>30519.944146666669</v>
      </c>
      <c r="H18" s="18"/>
      <c r="I18" s="54"/>
      <c r="J18" s="51">
        <f>-20-20</f>
        <v>-40</v>
      </c>
      <c r="K18" s="50" t="s">
        <v>75</v>
      </c>
      <c r="L18" s="55"/>
      <c r="M18" s="55"/>
      <c r="N18" s="18"/>
      <c r="O18" s="18"/>
      <c r="P18" s="18"/>
      <c r="Q18" s="18"/>
      <c r="R18" s="18"/>
      <c r="S18" s="18"/>
      <c r="T18" s="18"/>
      <c r="U18" s="18"/>
      <c r="V18" s="18"/>
    </row>
    <row r="19" spans="1:22">
      <c r="A19" s="18"/>
      <c r="B19" s="56"/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>
      <c r="A20" s="18"/>
      <c r="B20" s="52" t="s">
        <v>76</v>
      </c>
      <c r="C20" s="55">
        <f>'Pacing - Yearly Summary'!C16-C18</f>
        <v>0</v>
      </c>
      <c r="D20" s="55">
        <f>'Pacing - Yearly Summary'!D16-D18</f>
        <v>0</v>
      </c>
      <c r="E20" s="55">
        <f>'Pacing - Yearly Summary'!E16-E18</f>
        <v>0</v>
      </c>
      <c r="F20" s="55">
        <f>'Pacing - Yearly Summary'!F16-F18</f>
        <v>0</v>
      </c>
      <c r="G20" s="117">
        <f>'Pacing - Yearly Summary'!G16-G18</f>
        <v>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>
      <c r="A24" s="46"/>
      <c r="B24" s="47" t="s">
        <v>77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18"/>
      <c r="P24" s="111" t="s">
        <v>104</v>
      </c>
      <c r="Q24" s="109" t="s">
        <v>96</v>
      </c>
      <c r="R24" s="18"/>
      <c r="S24" s="18"/>
      <c r="T24" s="18"/>
      <c r="U24" s="18"/>
      <c r="V24" s="18"/>
    </row>
    <row r="25" spans="1:2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>
      <c r="A26" s="18"/>
      <c r="B26" s="18"/>
      <c r="C26" s="48" t="s">
        <v>6</v>
      </c>
      <c r="D26" s="48" t="s">
        <v>7</v>
      </c>
      <c r="E26" s="48" t="s">
        <v>8</v>
      </c>
      <c r="F26" s="48" t="s">
        <v>9</v>
      </c>
      <c r="G26" s="49" t="s">
        <v>71</v>
      </c>
      <c r="H26" s="18"/>
      <c r="I26" s="18"/>
      <c r="J26" s="18"/>
      <c r="K26" s="18"/>
      <c r="L26" s="18"/>
      <c r="M26" s="18"/>
      <c r="N26" s="18"/>
      <c r="O26" s="18"/>
      <c r="P26" s="111" t="s">
        <v>105</v>
      </c>
      <c r="Q26" s="109" t="s">
        <v>95</v>
      </c>
      <c r="R26" s="18"/>
      <c r="S26" s="18"/>
      <c r="T26" s="18"/>
      <c r="U26" s="18"/>
      <c r="V26" s="18"/>
    </row>
    <row r="27" spans="1:22">
      <c r="A27" s="18"/>
      <c r="B27" s="52" t="s">
        <v>74</v>
      </c>
      <c r="C27" s="53">
        <v>7993.8983900000003</v>
      </c>
      <c r="D27" s="53">
        <v>8156.1595200000011</v>
      </c>
      <c r="E27" s="53">
        <v>8942.3971399999991</v>
      </c>
      <c r="F27" s="53">
        <v>5427.4890966666671</v>
      </c>
      <c r="G27" s="53">
        <v>30519.944146666669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>
      <c r="A28" s="18"/>
      <c r="B28" s="56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14" t="s">
        <v>106</v>
      </c>
      <c r="Q28" s="109" t="s">
        <v>107</v>
      </c>
      <c r="R28" s="55"/>
      <c r="S28" s="55"/>
      <c r="T28" s="55"/>
      <c r="U28" s="18"/>
      <c r="V28" s="18"/>
    </row>
    <row r="29" spans="1:22">
      <c r="A29" s="18"/>
      <c r="B29" s="52" t="s">
        <v>76</v>
      </c>
      <c r="C29" s="55">
        <f>'Pacing - Act. vs Budget'!C17-C27</f>
        <v>0</v>
      </c>
      <c r="D29" s="55">
        <f>'Pacing - Act. vs Budget'!D17-D27</f>
        <v>0</v>
      </c>
      <c r="E29" s="55">
        <f>'Pacing - Act. vs Budget'!E17-E27</f>
        <v>0</v>
      </c>
      <c r="F29" s="55">
        <f>'Pacing - Act. vs Budget'!F17-F27</f>
        <v>0</v>
      </c>
      <c r="G29" s="117">
        <f>'Pacing - Act. vs Budget'!G17-G27</f>
        <v>0</v>
      </c>
      <c r="H29" s="18"/>
      <c r="I29" s="165"/>
      <c r="J29" s="18"/>
      <c r="K29" s="18"/>
      <c r="L29" s="18"/>
      <c r="M29" s="18"/>
      <c r="N29" s="18"/>
      <c r="O29" s="18"/>
      <c r="P29" s="18"/>
      <c r="Q29" s="18"/>
      <c r="R29" s="18"/>
      <c r="S29" s="55"/>
      <c r="T29" s="18"/>
      <c r="U29" s="55"/>
      <c r="V29" s="18"/>
    </row>
    <row r="30" spans="1:22">
      <c r="A30" s="18"/>
      <c r="B30" s="52"/>
      <c r="C30" s="55"/>
      <c r="D30" s="55"/>
      <c r="E30" s="55"/>
      <c r="F30" s="55"/>
      <c r="G30" s="55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55"/>
      <c r="T30" s="18"/>
      <c r="U30" s="55"/>
      <c r="V30" s="18"/>
    </row>
    <row r="31" spans="1:22">
      <c r="A31" s="18"/>
      <c r="B31" s="18"/>
      <c r="C31" s="18"/>
      <c r="D31" s="18"/>
      <c r="E31" s="18"/>
      <c r="F31" s="51">
        <v>0</v>
      </c>
      <c r="G31" s="50" t="s">
        <v>112</v>
      </c>
      <c r="H31" s="217">
        <f>SUM(C29:F29)-F31</f>
        <v>0</v>
      </c>
      <c r="I31" s="50" t="s">
        <v>120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>
      <c r="A32" s="18"/>
      <c r="B32" s="18"/>
      <c r="C32" s="18"/>
      <c r="D32" s="18"/>
      <c r="E32" s="18"/>
      <c r="F32" s="18"/>
      <c r="G32" s="18"/>
      <c r="H32" s="165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>
      <c r="A33" s="46"/>
      <c r="B33" s="47" t="s">
        <v>78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18"/>
      <c r="P33" s="18"/>
      <c r="Q33" s="18"/>
      <c r="R33" s="18"/>
      <c r="S33" s="18"/>
      <c r="T33" s="18"/>
      <c r="U33" s="18"/>
      <c r="V33" s="18"/>
    </row>
    <row r="34" spans="1:22">
      <c r="A34" s="18"/>
      <c r="B34" s="18"/>
      <c r="C34" s="48" t="s">
        <v>37</v>
      </c>
      <c r="D34" s="48" t="s">
        <v>38</v>
      </c>
      <c r="E34" s="48" t="s">
        <v>39</v>
      </c>
      <c r="F34" s="48" t="s">
        <v>40</v>
      </c>
      <c r="G34" s="48" t="s">
        <v>41</v>
      </c>
      <c r="H34" s="48" t="s">
        <v>42</v>
      </c>
      <c r="I34" s="48" t="s">
        <v>43</v>
      </c>
      <c r="J34" s="48" t="s">
        <v>44</v>
      </c>
      <c r="K34" s="48" t="s">
        <v>45</v>
      </c>
      <c r="L34" s="48" t="s">
        <v>46</v>
      </c>
      <c r="M34" s="48" t="s">
        <v>47</v>
      </c>
      <c r="N34" s="48" t="s">
        <v>48</v>
      </c>
      <c r="O34" s="18"/>
      <c r="P34" s="18"/>
      <c r="Q34" s="18"/>
      <c r="R34" s="18"/>
      <c r="S34" s="18"/>
      <c r="T34" s="18"/>
      <c r="U34" s="18"/>
      <c r="V34" s="18"/>
    </row>
    <row r="35" spans="1:22">
      <c r="A35" s="18"/>
      <c r="B35" s="52" t="s">
        <v>74</v>
      </c>
      <c r="C35" s="53">
        <v>2409.19499</v>
      </c>
      <c r="D35" s="53">
        <v>2474.9916600000001</v>
      </c>
      <c r="E35" s="53">
        <v>3109.7117400000002</v>
      </c>
      <c r="F35" s="53">
        <v>2483.7079399999998</v>
      </c>
      <c r="G35" s="53">
        <v>2744.4800399999999</v>
      </c>
      <c r="H35" s="53">
        <v>2927.9715399999995</v>
      </c>
      <c r="I35" s="53">
        <v>2802.00558</v>
      </c>
      <c r="J35" s="53">
        <v>3349.0965399999995</v>
      </c>
      <c r="K35" s="53">
        <v>2791.29502</v>
      </c>
      <c r="L35" s="53">
        <v>2087.2232966666666</v>
      </c>
      <c r="M35" s="53">
        <v>1797.9122399999999</v>
      </c>
      <c r="N35" s="53">
        <v>1542.35356</v>
      </c>
      <c r="O35" s="18"/>
      <c r="P35" s="18"/>
      <c r="Q35" s="18"/>
      <c r="R35" s="18"/>
      <c r="S35" s="18"/>
      <c r="T35" s="18"/>
      <c r="U35" s="18"/>
      <c r="V35" s="18"/>
    </row>
    <row r="36" spans="1:22">
      <c r="A36" s="18"/>
      <c r="B36" s="56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>
      <c r="A37" s="18"/>
      <c r="B37" s="52" t="s">
        <v>76</v>
      </c>
      <c r="C37" s="55">
        <f>'Pacing - Monthly Inputs (actual'!C16-C35</f>
        <v>0</v>
      </c>
      <c r="D37" s="55">
        <f>'Pacing - Monthly Inputs (actual'!D16-D35</f>
        <v>0</v>
      </c>
      <c r="E37" s="55">
        <f>'Pacing - Monthly Inputs (actual'!E16-E35</f>
        <v>0</v>
      </c>
      <c r="F37" s="55">
        <f>'Pacing - Monthly Inputs (actual'!F16-F35</f>
        <v>0</v>
      </c>
      <c r="G37" s="55">
        <f>'Pacing - Monthly Inputs (actual'!G16-G35</f>
        <v>0</v>
      </c>
      <c r="H37" s="55">
        <f>'Pacing - Monthly Inputs (actual'!H16-H35</f>
        <v>0</v>
      </c>
      <c r="I37" s="55">
        <f>'Pacing - Monthly Inputs (actual'!I16-I35</f>
        <v>0</v>
      </c>
      <c r="J37" s="55">
        <f>'Pacing - Monthly Inputs (actual'!J16-J35</f>
        <v>0</v>
      </c>
      <c r="K37" s="55">
        <f>'Pacing - Monthly Inputs (actual'!K16-K35</f>
        <v>0</v>
      </c>
      <c r="L37" s="55">
        <f>'Pacing - Monthly Inputs (actual'!L16-L35</f>
        <v>0</v>
      </c>
      <c r="M37" s="55">
        <f>'Pacing - Monthly Inputs (actual'!M16-M35</f>
        <v>0</v>
      </c>
      <c r="N37" s="55">
        <f>'Pacing - Monthly Inputs (actual'!N16-N35</f>
        <v>0</v>
      </c>
      <c r="O37" s="118">
        <f>SUM(C37:N37)</f>
        <v>0</v>
      </c>
      <c r="P37" s="18"/>
      <c r="Q37" s="18"/>
      <c r="R37" s="18"/>
      <c r="S37" s="18"/>
      <c r="T37" s="18"/>
      <c r="U37" s="18"/>
      <c r="V37" s="18"/>
    </row>
    <row r="38" spans="1:2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>
      <c r="A39" s="18"/>
      <c r="B39" s="18"/>
      <c r="C39" s="18"/>
      <c r="D39" s="18"/>
      <c r="E39" s="18"/>
      <c r="F39" s="18"/>
      <c r="G39" s="18"/>
      <c r="H39" s="18"/>
      <c r="I39" s="18"/>
      <c r="J39" s="55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>
      <c r="A40" s="18"/>
      <c r="B40" s="113" t="s">
        <v>103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>
      <c r="A41" s="18"/>
      <c r="B41" s="18" t="s">
        <v>82</v>
      </c>
      <c r="C41" s="111" t="s">
        <v>98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>
      <c r="A42" s="18"/>
      <c r="B42" s="18" t="s">
        <v>83</v>
      </c>
      <c r="C42" s="111" t="s">
        <v>98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>
      <c r="A43" s="18"/>
      <c r="B43" s="18" t="s">
        <v>84</v>
      </c>
      <c r="C43" s="111" t="s">
        <v>98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>
      <c r="A44" s="18"/>
      <c r="B44" s="115" t="s">
        <v>79</v>
      </c>
      <c r="C44" s="116" t="s">
        <v>99</v>
      </c>
      <c r="D44" s="18"/>
      <c r="E44" s="115" t="s">
        <v>79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>
      <c r="A45" s="18"/>
      <c r="B45" s="115" t="s">
        <v>85</v>
      </c>
      <c r="C45" s="116" t="s">
        <v>99</v>
      </c>
      <c r="D45" s="18"/>
      <c r="E45" s="115" t="s">
        <v>85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>
      <c r="A46" s="18"/>
      <c r="B46" s="18" t="s">
        <v>29</v>
      </c>
      <c r="C46" s="111" t="s">
        <v>100</v>
      </c>
      <c r="D46" s="18"/>
      <c r="E46" s="115" t="s">
        <v>87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>
      <c r="A47" s="18"/>
      <c r="B47" s="18" t="s">
        <v>86</v>
      </c>
      <c r="C47" s="112" t="s">
        <v>101</v>
      </c>
      <c r="D47" s="18"/>
      <c r="E47" s="18"/>
      <c r="F47" s="18"/>
      <c r="G47" s="18"/>
      <c r="H47" s="18"/>
      <c r="I47" s="5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>
      <c r="A48" s="18"/>
      <c r="B48" s="115" t="s">
        <v>87</v>
      </c>
      <c r="C48" s="116" t="s">
        <v>99</v>
      </c>
      <c r="D48" s="18"/>
      <c r="E48" s="18"/>
      <c r="F48" s="18"/>
      <c r="G48" s="18"/>
      <c r="H48" s="18"/>
      <c r="I48" s="5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>
      <c r="A49" s="18"/>
      <c r="B49" s="18" t="s">
        <v>88</v>
      </c>
      <c r="C49" s="111" t="s">
        <v>98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>
      <c r="A50" s="18"/>
      <c r="B50" s="18" t="s">
        <v>89</v>
      </c>
      <c r="C50" s="111" t="s">
        <v>102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 spans="1:2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 spans="1: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 spans="1:2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 spans="1:2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 spans="1:2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 spans="1:2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 spans="1:2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1:2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 spans="1:2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 spans="1:2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 spans="1:2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 spans="1:2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 spans="1:2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 spans="1:2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 spans="1:2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 spans="1:2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 spans="1:2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 spans="1:2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 spans="1:2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 spans="1:2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 spans="1:2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 spans="1:2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 spans="1:2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 spans="1:2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 spans="1:2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 spans="1:2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 spans="1:2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 spans="1:2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 spans="1:2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 spans="1:2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 spans="1:2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 spans="1:2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 spans="1:2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 spans="1:2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 spans="1:2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 spans="1:2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 spans="1:2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 spans="1:2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 spans="1:2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 spans="1:2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 spans="1:2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 spans="1:2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 spans="1:2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 spans="1:2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 spans="1:2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 spans="1:2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 spans="1:2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 spans="1:2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 spans="1:2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 spans="1:2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 spans="1:2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 spans="1:2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 spans="1:2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spans="1:2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 spans="1:2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 spans="1:2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 spans="1:2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 spans="1:2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 spans="1:2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 spans="1:2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 spans="1:2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spans="1:2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 spans="1:2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 spans="1:2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 spans="1:2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 spans="1:2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 spans="1:2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 spans="1:2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 spans="1:2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 spans="1:2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 spans="1:2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 spans="1: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 spans="1:2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 spans="1:2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 spans="1:2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 spans="1:2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 spans="1:2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 spans="1:2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 spans="1:2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 spans="1:2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 spans="1:2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 spans="1:2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 spans="1:2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 spans="1:2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 spans="1:2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 spans="1:2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 spans="1:2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 spans="1:2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 spans="1:2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 spans="1:2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 spans="1:2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 spans="1:2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 spans="1:2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 spans="1:2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 spans="1:2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 spans="1:2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 spans="1:2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 spans="1:2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 spans="1:2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 spans="1:2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 spans="1:2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 spans="1:2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 spans="1:2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 spans="1:2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 spans="1:2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 spans="1:2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 spans="1:2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 spans="1:2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 spans="1:2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 spans="1:2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 spans="1:2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 spans="1:2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 spans="1:2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 spans="1:2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 spans="1:2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 spans="1:2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 spans="1:2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 spans="1:2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 spans="1:2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 spans="1:2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 spans="1:2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 spans="1:2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 spans="1:2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 spans="1:2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 spans="1:2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 spans="1:2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 spans="1:2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 spans="1:2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 spans="1:2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 spans="1:2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 spans="1:2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 spans="1:2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 spans="1:2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 spans="1:2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 spans="1:2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 spans="1:2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 spans="1:2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 spans="1:2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 spans="1:2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 spans="1:2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 spans="1:2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 spans="1:2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 spans="1:2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 spans="1:2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 spans="1:2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 spans="1:2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 spans="1:2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 spans="1:2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 spans="1:2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 spans="1:2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 spans="1:2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 spans="1:2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 spans="1:2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 spans="1:2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 spans="1:2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 spans="1:2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 spans="1:2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 spans="1:2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 spans="1:2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 spans="1:2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 spans="1:2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 spans="1:2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 spans="1:2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 spans="1:2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 spans="1:2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 spans="1:2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 spans="1:2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 spans="1:2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 spans="1:2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 spans="1:2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 spans="1:2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 spans="1: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 spans="1:2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 spans="1:2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 spans="1:2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 spans="1:2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 spans="1:2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 spans="1:2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 spans="1:2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 spans="1:2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 spans="1:2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 spans="1:2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 spans="1:2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 spans="1:2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 spans="1:2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 spans="1:2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 spans="1:2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 spans="1:2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 spans="1:2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 spans="1:2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 spans="1:2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 spans="1:2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 spans="1:2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 spans="1:2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 spans="1:2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 spans="1:2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 spans="1:2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 spans="1:2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 spans="1:2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 spans="1:2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 spans="1:2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 spans="1:2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 spans="1:2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 spans="1:2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 spans="1:2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 spans="1:2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 spans="1:2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 spans="1:2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 spans="1:2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 spans="1:2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 spans="1:2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 spans="1:2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 spans="1:2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 spans="1:2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 spans="1:2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 spans="1:2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 spans="1:2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 spans="1:2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 spans="1:2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 spans="1:2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 spans="1:2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 spans="1:2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 spans="1:2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 spans="1:2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 spans="1:2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 spans="1:2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 spans="1:2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 spans="1:2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 spans="1:2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 spans="1:2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 spans="1:2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 spans="1:2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 spans="1:2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 spans="1:2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 spans="1:2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 spans="1:2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 spans="1:2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 spans="1:2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 spans="1:2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 spans="1:2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 spans="1:2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 spans="1:2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 spans="1:2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 spans="1:2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 spans="1:2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 spans="1:2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 spans="1:2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 spans="1:2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 spans="1:2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 spans="1:2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 spans="1:2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 spans="1:2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 spans="1:2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 spans="1:2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 spans="1:2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 spans="1:2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 spans="1:2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 spans="1:2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 spans="1:2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 spans="1:2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 spans="1:2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 spans="1:2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 spans="1:2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 spans="1:2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 spans="1:2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 spans="1:2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 spans="1:2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 spans="1:2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 spans="1:2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 spans="1:2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 spans="1:2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 spans="1: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 spans="1:2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 spans="1:2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 spans="1:2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 spans="1:2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 spans="1:2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 spans="1:2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 spans="1:2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 spans="1:2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 spans="1:2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 spans="1:2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 spans="1:2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 spans="1:2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 spans="1:2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 spans="1:2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 spans="1:2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 spans="1:2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 spans="1:2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 spans="1:2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 spans="1:2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 spans="1:2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 spans="1:2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 spans="1:2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 spans="1:2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 spans="1:2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 spans="1:2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 spans="1:2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 spans="1:2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 spans="1:2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 spans="1:2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 spans="1:2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 spans="1:2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 spans="1:2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 spans="1:2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 spans="1:2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 spans="1:2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 spans="1:2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 spans="1:2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 spans="1:2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 spans="1:2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 spans="1:2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 spans="1:2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 spans="1:2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 spans="1:2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 spans="1:2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 spans="1:2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 spans="1:2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 spans="1:2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 spans="1:2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 spans="1:2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 spans="1:2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 spans="1:2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 spans="1:2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 spans="1:2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 spans="1:2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 spans="1:2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 spans="1:2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 spans="1:2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 spans="1:2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 spans="1:2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 spans="1:2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 spans="1:2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 spans="1:2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 spans="1:2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 spans="1:2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 spans="1:2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 spans="1:2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 spans="1:2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 spans="1:2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 spans="1:2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 spans="1:2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 spans="1:2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 spans="1:2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 spans="1:2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 spans="1:2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 spans="1:2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 spans="1:2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 spans="1:2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 spans="1:2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 spans="1:22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  <row r="1002" spans="1:2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390F-8D32-4EB8-B184-73802F27F2E1}">
  <sheetPr>
    <tabColor rgb="FFFFFF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C6BD-80B8-496D-BDF7-EDD2D41A52DC}">
  <dimension ref="A1:E20"/>
  <sheetViews>
    <sheetView workbookViewId="0">
      <selection activeCell="F22" sqref="F22"/>
    </sheetView>
  </sheetViews>
  <sheetFormatPr defaultRowHeight="15"/>
  <cols>
    <col min="1" max="2" width="9.7109375" bestFit="1" customWidth="1"/>
    <col min="3" max="3" width="14.140625" style="167" bestFit="1" customWidth="1"/>
    <col min="4" max="4" width="15.7109375" style="167" bestFit="1" customWidth="1"/>
    <col min="5" max="5" width="13.28515625" style="167" bestFit="1" customWidth="1"/>
  </cols>
  <sheetData>
    <row r="1" spans="1:5">
      <c r="A1" t="s">
        <v>278</v>
      </c>
    </row>
    <row r="2" spans="1:5">
      <c r="A2" t="s">
        <v>274</v>
      </c>
      <c r="B2" t="s">
        <v>275</v>
      </c>
      <c r="C2" s="167" t="s">
        <v>276</v>
      </c>
      <c r="D2" s="167" t="s">
        <v>5</v>
      </c>
      <c r="E2" s="167" t="s">
        <v>277</v>
      </c>
    </row>
    <row r="3" spans="1:5">
      <c r="A3" s="216">
        <v>46023</v>
      </c>
      <c r="B3" s="216">
        <v>46053</v>
      </c>
      <c r="C3" s="167">
        <v>29159.23</v>
      </c>
      <c r="D3" s="167">
        <v>37439.370000000003</v>
      </c>
      <c r="E3" s="167">
        <v>4505347</v>
      </c>
    </row>
    <row r="5" spans="1:5">
      <c r="A5" t="s">
        <v>279</v>
      </c>
    </row>
    <row r="6" spans="1:5">
      <c r="A6" s="216">
        <v>46023</v>
      </c>
      <c r="B6" s="216">
        <v>46053</v>
      </c>
      <c r="C6" s="167">
        <v>9873.7000000000007</v>
      </c>
      <c r="D6" s="167">
        <v>14105.29</v>
      </c>
      <c r="E6" s="167">
        <v>1363995</v>
      </c>
    </row>
    <row r="8" spans="1:5">
      <c r="A8" t="s">
        <v>280</v>
      </c>
    </row>
    <row r="9" spans="1:5">
      <c r="A9" s="216">
        <v>46023</v>
      </c>
      <c r="B9" s="216">
        <v>46053</v>
      </c>
      <c r="C9" s="167">
        <f>C3-C6</f>
        <v>19285.53</v>
      </c>
      <c r="D9" s="167">
        <f t="shared" ref="D9:E9" si="0">D3-D6</f>
        <v>23334.080000000002</v>
      </c>
      <c r="E9" s="167">
        <f t="shared" si="0"/>
        <v>3141352</v>
      </c>
    </row>
    <row r="12" spans="1:5">
      <c r="A12" t="s">
        <v>278</v>
      </c>
    </row>
    <row r="13" spans="1:5">
      <c r="A13" t="s">
        <v>274</v>
      </c>
      <c r="B13" t="s">
        <v>275</v>
      </c>
      <c r="C13" s="167" t="s">
        <v>276</v>
      </c>
      <c r="D13" s="167" t="s">
        <v>5</v>
      </c>
      <c r="E13" s="167" t="s">
        <v>277</v>
      </c>
    </row>
    <row r="14" spans="1:5">
      <c r="A14" s="216">
        <v>46054</v>
      </c>
      <c r="B14" s="216">
        <v>46062</v>
      </c>
      <c r="C14" s="167">
        <v>9030.25</v>
      </c>
      <c r="D14" s="167">
        <v>11298.24</v>
      </c>
      <c r="E14" s="167">
        <v>1555729</v>
      </c>
    </row>
    <row r="16" spans="1:5">
      <c r="A16" t="s">
        <v>279</v>
      </c>
    </row>
    <row r="17" spans="1:5">
      <c r="A17" s="216">
        <v>46054</v>
      </c>
      <c r="B17" s="216">
        <v>46062</v>
      </c>
      <c r="C17" s="167">
        <v>2307.6799999999998</v>
      </c>
      <c r="D17" s="167">
        <v>2699.05</v>
      </c>
      <c r="E17" s="167">
        <v>385900</v>
      </c>
    </row>
    <row r="19" spans="1:5">
      <c r="A19" t="s">
        <v>280</v>
      </c>
    </row>
    <row r="20" spans="1:5">
      <c r="A20" s="216">
        <v>46054</v>
      </c>
      <c r="B20" s="216">
        <v>46062</v>
      </c>
      <c r="C20" s="167">
        <f>C14-C17</f>
        <v>6722.57</v>
      </c>
      <c r="D20" s="167">
        <f t="shared" ref="D20:E20" si="1">D14-D17</f>
        <v>8599.1899999999987</v>
      </c>
      <c r="E20" s="167">
        <f t="shared" si="1"/>
        <v>1169829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320D-8473-4C45-8B84-C64FB8D6B585}">
  <dimension ref="A1:S94"/>
  <sheetViews>
    <sheetView topLeftCell="B1" workbookViewId="0">
      <selection activeCell="R21" sqref="R21"/>
    </sheetView>
  </sheetViews>
  <sheetFormatPr defaultColWidth="12.5703125" defaultRowHeight="15"/>
  <cols>
    <col min="1" max="1" width="26.42578125" customWidth="1"/>
    <col min="2" max="2" width="13.85546875" customWidth="1"/>
    <col min="3" max="3" width="14.140625" customWidth="1"/>
    <col min="4" max="4" width="14" customWidth="1"/>
    <col min="5" max="5" width="18.5703125" customWidth="1"/>
    <col min="6" max="6" width="13.5703125" customWidth="1"/>
    <col min="12" max="12" width="13.42578125" customWidth="1"/>
    <col min="14" max="14" width="17.7109375" customWidth="1"/>
    <col min="15" max="15" width="15.7109375" customWidth="1"/>
    <col min="17" max="17" width="14.42578125" customWidth="1"/>
    <col min="18" max="18" width="19.140625" customWidth="1"/>
    <col min="19" max="19" width="17.7109375" customWidth="1"/>
  </cols>
  <sheetData>
    <row r="1" spans="1:19">
      <c r="A1" s="266"/>
      <c r="B1" s="266" t="s">
        <v>213</v>
      </c>
      <c r="C1" s="266" t="s">
        <v>214</v>
      </c>
      <c r="D1" s="266" t="s">
        <v>215</v>
      </c>
      <c r="E1" s="267" t="s">
        <v>216</v>
      </c>
      <c r="F1" s="267" t="s">
        <v>217</v>
      </c>
      <c r="G1" s="267" t="s">
        <v>218</v>
      </c>
      <c r="H1" s="268" t="s">
        <v>219</v>
      </c>
      <c r="I1" s="266" t="s">
        <v>220</v>
      </c>
      <c r="J1" s="266" t="s">
        <v>221</v>
      </c>
      <c r="K1" s="266" t="s">
        <v>222</v>
      </c>
      <c r="L1" s="266" t="s">
        <v>223</v>
      </c>
      <c r="M1" s="266" t="s">
        <v>224</v>
      </c>
      <c r="O1" s="266" t="s">
        <v>225</v>
      </c>
    </row>
    <row r="2" spans="1:19">
      <c r="A2" s="268" t="s">
        <v>226</v>
      </c>
      <c r="B2" s="269" t="s">
        <v>345</v>
      </c>
      <c r="C2" s="269"/>
      <c r="D2" s="269"/>
      <c r="E2" s="269"/>
      <c r="F2" s="269"/>
      <c r="G2" s="270"/>
      <c r="H2" s="270"/>
      <c r="I2" s="270"/>
      <c r="J2" s="270"/>
      <c r="K2" s="270"/>
      <c r="L2" s="270"/>
      <c r="M2" s="270"/>
    </row>
    <row r="3" spans="1:19">
      <c r="A3" s="271" t="s">
        <v>227</v>
      </c>
      <c r="B3" s="272">
        <f t="shared" ref="B3:B6" si="0">L14</f>
        <v>96456.83666666667</v>
      </c>
      <c r="C3" s="273">
        <f t="shared" ref="C3:C6" si="1">L21</f>
        <v>42368.566666666666</v>
      </c>
      <c r="D3" s="273">
        <f t="shared" ref="D3:D6" si="2">L28</f>
        <v>0</v>
      </c>
      <c r="E3" s="273">
        <f t="shared" ref="E3:E6" si="3">L35</f>
        <v>0</v>
      </c>
      <c r="F3" s="273">
        <f t="shared" ref="F3:F6" si="4">L42</f>
        <v>0</v>
      </c>
      <c r="G3" s="273">
        <f t="shared" ref="G3:G6" si="5">L49</f>
        <v>0</v>
      </c>
      <c r="H3" s="273">
        <f t="shared" ref="H3:H6" si="6">L56</f>
        <v>0</v>
      </c>
      <c r="I3" s="273">
        <f t="shared" ref="I3:I6" si="7">L63</f>
        <v>0</v>
      </c>
      <c r="J3" s="273">
        <f t="shared" ref="J3:J4" si="8">L70</f>
        <v>0</v>
      </c>
      <c r="K3" s="273">
        <f t="shared" ref="K3:K4" si="9">L77</f>
        <v>0</v>
      </c>
      <c r="L3" s="274">
        <f t="shared" ref="L3:L4" si="10">L84</f>
        <v>0</v>
      </c>
      <c r="M3" s="274">
        <f t="shared" ref="M3:M4" si="11">L91</f>
        <v>0</v>
      </c>
      <c r="O3" s="214" t="s">
        <v>228</v>
      </c>
    </row>
    <row r="4" spans="1:19">
      <c r="A4" s="275" t="s">
        <v>229</v>
      </c>
      <c r="B4" s="276">
        <f t="shared" si="0"/>
        <v>37439.360000000001</v>
      </c>
      <c r="C4" s="277">
        <f t="shared" si="1"/>
        <v>10206.879999999999</v>
      </c>
      <c r="D4" s="277">
        <f t="shared" si="2"/>
        <v>0</v>
      </c>
      <c r="E4" s="277">
        <f t="shared" si="3"/>
        <v>0</v>
      </c>
      <c r="F4" s="277">
        <f t="shared" si="4"/>
        <v>0</v>
      </c>
      <c r="G4" s="277">
        <f t="shared" si="5"/>
        <v>0</v>
      </c>
      <c r="H4" s="277">
        <f t="shared" si="6"/>
        <v>0</v>
      </c>
      <c r="I4" s="277">
        <f t="shared" si="7"/>
        <v>0</v>
      </c>
      <c r="J4" s="277">
        <f t="shared" si="8"/>
        <v>0</v>
      </c>
      <c r="K4" s="277">
        <f t="shared" si="9"/>
        <v>0</v>
      </c>
      <c r="L4" s="278">
        <f t="shared" si="10"/>
        <v>0</v>
      </c>
      <c r="M4" s="278">
        <f t="shared" si="11"/>
        <v>0</v>
      </c>
      <c r="O4" s="214" t="s">
        <v>230</v>
      </c>
    </row>
    <row r="5" spans="1:19">
      <c r="A5" s="275" t="s">
        <v>123</v>
      </c>
      <c r="B5" s="276">
        <f t="shared" si="0"/>
        <v>23504.98</v>
      </c>
      <c r="C5" s="277">
        <f t="shared" si="1"/>
        <v>7230.03</v>
      </c>
      <c r="D5" s="277">
        <f t="shared" si="2"/>
        <v>0</v>
      </c>
      <c r="E5" s="277">
        <f t="shared" si="3"/>
        <v>0</v>
      </c>
      <c r="F5" s="277">
        <f t="shared" si="4"/>
        <v>0</v>
      </c>
      <c r="G5" s="277">
        <f t="shared" si="5"/>
        <v>0</v>
      </c>
      <c r="H5" s="277">
        <f t="shared" si="6"/>
        <v>0</v>
      </c>
      <c r="I5" s="277">
        <f t="shared" si="7"/>
        <v>0</v>
      </c>
      <c r="J5" s="277">
        <f>L73</f>
        <v>0</v>
      </c>
      <c r="K5" s="277">
        <f>L80</f>
        <v>0</v>
      </c>
      <c r="L5" s="278">
        <f>L87</f>
        <v>0</v>
      </c>
      <c r="M5" s="278">
        <f>L94</f>
        <v>0</v>
      </c>
      <c r="O5" s="214" t="s">
        <v>231</v>
      </c>
    </row>
    <row r="6" spans="1:19">
      <c r="A6" s="275" t="s">
        <v>232</v>
      </c>
      <c r="B6" s="276">
        <f t="shared" si="0"/>
        <v>44330.879999999997</v>
      </c>
      <c r="C6" s="277">
        <f t="shared" si="1"/>
        <v>12196.22</v>
      </c>
      <c r="D6" s="277">
        <f t="shared" si="2"/>
        <v>0</v>
      </c>
      <c r="E6" s="277">
        <f t="shared" si="3"/>
        <v>0</v>
      </c>
      <c r="F6" s="277">
        <f t="shared" si="4"/>
        <v>0</v>
      </c>
      <c r="G6" s="277">
        <f t="shared" si="5"/>
        <v>0</v>
      </c>
      <c r="H6" s="277">
        <f t="shared" si="6"/>
        <v>0</v>
      </c>
      <c r="I6" s="277">
        <f t="shared" si="7"/>
        <v>0</v>
      </c>
      <c r="J6" s="277">
        <f>L72</f>
        <v>0</v>
      </c>
      <c r="K6" s="277">
        <f>L79</f>
        <v>0</v>
      </c>
      <c r="L6" s="278">
        <f>L86</f>
        <v>0</v>
      </c>
      <c r="M6" s="278">
        <f>L93</f>
        <v>0</v>
      </c>
      <c r="O6" s="214" t="s">
        <v>233</v>
      </c>
      <c r="P6" s="266" t="s">
        <v>234</v>
      </c>
      <c r="Q6" s="266" t="s">
        <v>235</v>
      </c>
      <c r="R6" s="266" t="s">
        <v>236</v>
      </c>
    </row>
    <row r="7" spans="1:19">
      <c r="A7" s="275" t="s">
        <v>124</v>
      </c>
      <c r="B7" s="276">
        <v>757.84</v>
      </c>
      <c r="C7" s="279"/>
      <c r="D7" s="279"/>
      <c r="E7" s="279"/>
      <c r="F7" s="279"/>
      <c r="G7" s="279"/>
      <c r="H7" s="279"/>
      <c r="I7" s="279"/>
      <c r="J7" s="279"/>
      <c r="K7" s="279"/>
      <c r="L7" s="280"/>
      <c r="M7" s="280"/>
      <c r="O7" s="214" t="s">
        <v>237</v>
      </c>
    </row>
    <row r="8" spans="1:19">
      <c r="A8" s="281"/>
      <c r="B8" s="281"/>
      <c r="C8" s="282"/>
      <c r="D8" s="282"/>
      <c r="E8" s="282"/>
      <c r="F8" s="282"/>
      <c r="G8" s="282"/>
      <c r="H8" s="282"/>
      <c r="I8" s="282"/>
      <c r="J8" s="282"/>
      <c r="K8" s="282"/>
      <c r="L8" s="283"/>
      <c r="M8" s="283"/>
    </row>
    <row r="9" spans="1:19" ht="15.75" customHeight="1">
      <c r="A9" s="266" t="s">
        <v>238</v>
      </c>
      <c r="B9" s="284">
        <f t="shared" ref="B9:M9" si="12">SUM(B3:B8)</f>
        <v>202489.89666666667</v>
      </c>
      <c r="C9" s="284">
        <f t="shared" si="12"/>
        <v>72001.696666666656</v>
      </c>
      <c r="D9" s="284">
        <f t="shared" si="12"/>
        <v>0</v>
      </c>
      <c r="E9" s="284">
        <f t="shared" si="12"/>
        <v>0</v>
      </c>
      <c r="F9" s="284">
        <f t="shared" si="12"/>
        <v>0</v>
      </c>
      <c r="G9" s="284">
        <f t="shared" si="12"/>
        <v>0</v>
      </c>
      <c r="H9" s="284">
        <f t="shared" si="12"/>
        <v>0</v>
      </c>
      <c r="I9" s="284">
        <f t="shared" si="12"/>
        <v>0</v>
      </c>
      <c r="J9" s="284">
        <f t="shared" si="12"/>
        <v>0</v>
      </c>
      <c r="K9" s="284">
        <f t="shared" si="12"/>
        <v>0</v>
      </c>
      <c r="L9" s="284">
        <f t="shared" si="12"/>
        <v>0</v>
      </c>
      <c r="M9" s="284">
        <f t="shared" si="12"/>
        <v>0</v>
      </c>
      <c r="N9" s="284">
        <f t="shared" ref="N9:N10" si="13">SUM(B9:M9)</f>
        <v>274491.59333333332</v>
      </c>
      <c r="O9" s="285">
        <f>N9/N10</f>
        <v>4.1765546244483906E-2</v>
      </c>
      <c r="Q9" s="286"/>
      <c r="R9" s="286"/>
      <c r="S9" s="286"/>
    </row>
    <row r="10" spans="1:19">
      <c r="A10" s="267" t="s">
        <v>239</v>
      </c>
      <c r="B10" s="287">
        <v>302474</v>
      </c>
      <c r="C10" s="287">
        <v>219092</v>
      </c>
      <c r="D10" s="288">
        <v>506260</v>
      </c>
      <c r="E10" s="288">
        <v>601232.02</v>
      </c>
      <c r="F10" s="288">
        <v>636197.26</v>
      </c>
      <c r="G10" s="288">
        <v>686808.2</v>
      </c>
      <c r="H10" s="289">
        <v>722732.02666666661</v>
      </c>
      <c r="I10" s="290">
        <v>813754.20000000007</v>
      </c>
      <c r="J10" s="290">
        <v>804377.98</v>
      </c>
      <c r="K10" s="291">
        <v>611670.68666666676</v>
      </c>
      <c r="L10" s="291">
        <v>667603.31000000006</v>
      </c>
      <c r="M10" s="292"/>
      <c r="N10" s="293">
        <f t="shared" si="13"/>
        <v>6572201.6833333336</v>
      </c>
    </row>
    <row r="12" spans="1:19">
      <c r="A12" s="294" t="s">
        <v>213</v>
      </c>
      <c r="B12" s="341" t="s">
        <v>240</v>
      </c>
      <c r="C12" s="338"/>
      <c r="D12" s="337">
        <v>45662</v>
      </c>
      <c r="E12" s="338"/>
      <c r="F12" s="337">
        <v>45669</v>
      </c>
      <c r="G12" s="338"/>
      <c r="H12" s="339">
        <v>45676</v>
      </c>
      <c r="I12" s="338"/>
      <c r="J12" s="340" t="s">
        <v>241</v>
      </c>
      <c r="K12" s="338"/>
      <c r="L12" s="267"/>
      <c r="M12" s="267"/>
    </row>
    <row r="13" spans="1:19">
      <c r="B13" s="271" t="s">
        <v>242</v>
      </c>
      <c r="C13" s="295" t="s">
        <v>243</v>
      </c>
      <c r="D13" s="296" t="s">
        <v>242</v>
      </c>
      <c r="E13" s="297" t="s">
        <v>243</v>
      </c>
      <c r="F13" s="296" t="s">
        <v>242</v>
      </c>
      <c r="G13" s="297" t="s">
        <v>243</v>
      </c>
      <c r="H13" s="298" t="s">
        <v>242</v>
      </c>
      <c r="I13" s="299" t="s">
        <v>243</v>
      </c>
      <c r="J13" s="300" t="s">
        <v>242</v>
      </c>
      <c r="K13" s="301" t="s">
        <v>243</v>
      </c>
      <c r="L13" s="267" t="s">
        <v>243</v>
      </c>
      <c r="M13" s="302"/>
      <c r="N13" s="173">
        <v>22165.439999999999</v>
      </c>
    </row>
    <row r="14" spans="1:19" ht="26.25">
      <c r="A14" s="266" t="s">
        <v>227</v>
      </c>
      <c r="B14" s="303">
        <v>6469.6</v>
      </c>
      <c r="C14" s="304">
        <f>B14/0.6</f>
        <v>10782.666666666668</v>
      </c>
      <c r="D14" s="303"/>
      <c r="E14" s="304">
        <v>18449</v>
      </c>
      <c r="F14" s="305"/>
      <c r="G14" s="304">
        <v>22282</v>
      </c>
      <c r="H14" s="306"/>
      <c r="I14" s="304">
        <v>22199.97</v>
      </c>
      <c r="J14" s="307"/>
      <c r="K14" s="304">
        <v>22743.200000000001</v>
      </c>
      <c r="L14" s="277">
        <f t="shared" ref="L14:L17" si="14">SUM(E14+G14+I14+K14+C14)</f>
        <v>96456.83666666667</v>
      </c>
      <c r="M14" s="308"/>
      <c r="N14" s="266">
        <v>17056.59</v>
      </c>
      <c r="P14" s="168" t="s">
        <v>244</v>
      </c>
      <c r="Q14" s="169">
        <v>46047</v>
      </c>
      <c r="R14" s="170">
        <v>656.51</v>
      </c>
    </row>
    <row r="15" spans="1:19" ht="26.25">
      <c r="A15" s="266" t="s">
        <v>245</v>
      </c>
      <c r="B15" s="309">
        <v>3457.34</v>
      </c>
      <c r="C15" s="310">
        <v>4582.5600000000004</v>
      </c>
      <c r="D15" s="309">
        <v>6649.03</v>
      </c>
      <c r="E15" s="310">
        <v>8609.1200000000008</v>
      </c>
      <c r="F15" s="311">
        <v>6784.5</v>
      </c>
      <c r="G15" s="312">
        <v>8725.15</v>
      </c>
      <c r="H15" s="313">
        <v>6218.08</v>
      </c>
      <c r="I15" s="314">
        <v>7880.32</v>
      </c>
      <c r="J15" s="315">
        <v>6050.28</v>
      </c>
      <c r="K15" s="316">
        <v>7642.21</v>
      </c>
      <c r="L15" s="277">
        <f t="shared" si="14"/>
        <v>37439.360000000001</v>
      </c>
      <c r="M15" s="308"/>
      <c r="N15" s="173">
        <f>N13-N14</f>
        <v>5108.8499999999985</v>
      </c>
      <c r="P15" s="171" t="s">
        <v>244</v>
      </c>
      <c r="Q15" s="169">
        <v>46046</v>
      </c>
      <c r="R15" s="170">
        <v>698.87</v>
      </c>
    </row>
    <row r="16" spans="1:19" ht="26.25">
      <c r="A16" s="266" t="s">
        <v>123</v>
      </c>
      <c r="B16" s="275"/>
      <c r="C16" s="310">
        <v>1835.91</v>
      </c>
      <c r="E16" s="310">
        <v>4948.41</v>
      </c>
      <c r="F16" s="275"/>
      <c r="G16" s="317">
        <v>5071.6899999999996</v>
      </c>
      <c r="H16" s="307"/>
      <c r="I16" s="316">
        <v>5980.68</v>
      </c>
      <c r="J16" s="307"/>
      <c r="K16" s="316">
        <v>5668.29</v>
      </c>
      <c r="L16" s="277">
        <f t="shared" si="14"/>
        <v>23504.98</v>
      </c>
      <c r="M16" s="302"/>
      <c r="P16" s="171" t="s">
        <v>244</v>
      </c>
      <c r="Q16" s="172">
        <v>46045</v>
      </c>
      <c r="R16" s="170">
        <v>747.45</v>
      </c>
    </row>
    <row r="17" spans="1:18" ht="26.25">
      <c r="A17" s="266" t="s">
        <v>246</v>
      </c>
      <c r="B17" s="318">
        <v>2362.16</v>
      </c>
      <c r="C17" s="319">
        <f>B17*2</f>
        <v>4724.32</v>
      </c>
      <c r="D17" s="320">
        <v>3400.3</v>
      </c>
      <c r="E17" s="319">
        <f>D17*2</f>
        <v>6800.6</v>
      </c>
      <c r="F17" s="321">
        <v>5311.78</v>
      </c>
      <c r="G17" s="319">
        <f>F17*2</f>
        <v>10623.56</v>
      </c>
      <c r="H17" s="322">
        <v>5982.35</v>
      </c>
      <c r="I17" s="319">
        <f>H17*2</f>
        <v>11964.7</v>
      </c>
      <c r="J17" s="323">
        <v>5108.8500000000004</v>
      </c>
      <c r="K17" s="319">
        <f>J17*2</f>
        <v>10217.700000000001</v>
      </c>
      <c r="L17" s="324">
        <f t="shared" si="14"/>
        <v>44330.879999999997</v>
      </c>
      <c r="M17" s="282"/>
      <c r="P17" s="171" t="s">
        <v>244</v>
      </c>
      <c r="Q17" s="172">
        <v>46044</v>
      </c>
      <c r="R17" s="170">
        <v>922.84</v>
      </c>
    </row>
    <row r="18" spans="1:18" ht="26.25">
      <c r="P18" s="171" t="s">
        <v>244</v>
      </c>
      <c r="Q18" s="172">
        <v>46043</v>
      </c>
      <c r="R18" s="170">
        <v>949.89</v>
      </c>
    </row>
    <row r="19" spans="1:18" ht="26.25">
      <c r="A19" s="294" t="s">
        <v>247</v>
      </c>
      <c r="B19" s="337">
        <v>45689</v>
      </c>
      <c r="C19" s="338"/>
      <c r="D19" s="337">
        <v>45690</v>
      </c>
      <c r="E19" s="338"/>
      <c r="F19" s="337">
        <v>45697</v>
      </c>
      <c r="G19" s="338"/>
      <c r="H19" s="339">
        <v>45704</v>
      </c>
      <c r="I19" s="338"/>
      <c r="J19" s="340" t="s">
        <v>248</v>
      </c>
      <c r="K19" s="338"/>
      <c r="L19" s="267" t="s">
        <v>249</v>
      </c>
      <c r="M19" s="267"/>
      <c r="N19" s="173">
        <v>22165.439999999999</v>
      </c>
      <c r="P19" s="171" t="s">
        <v>244</v>
      </c>
      <c r="Q19" s="172">
        <v>46042</v>
      </c>
      <c r="R19" s="170">
        <v>1171.69</v>
      </c>
    </row>
    <row r="20" spans="1:18" ht="26.25">
      <c r="B20" s="271" t="s">
        <v>242</v>
      </c>
      <c r="C20" s="295" t="s">
        <v>243</v>
      </c>
      <c r="D20" s="296" t="s">
        <v>242</v>
      </c>
      <c r="E20" s="297" t="s">
        <v>243</v>
      </c>
      <c r="F20" s="296" t="s">
        <v>242</v>
      </c>
      <c r="G20" s="297" t="s">
        <v>243</v>
      </c>
      <c r="H20" s="298" t="s">
        <v>242</v>
      </c>
      <c r="I20" s="299" t="s">
        <v>243</v>
      </c>
      <c r="J20" s="300" t="s">
        <v>242</v>
      </c>
      <c r="K20" s="301" t="s">
        <v>243</v>
      </c>
      <c r="L20" s="267" t="s">
        <v>243</v>
      </c>
      <c r="M20" s="302"/>
      <c r="N20" s="266">
        <v>17056.59</v>
      </c>
      <c r="P20" s="171" t="s">
        <v>244</v>
      </c>
      <c r="Q20" s="172">
        <v>46041</v>
      </c>
      <c r="R20" s="170">
        <v>835.1</v>
      </c>
    </row>
    <row r="21" spans="1:18">
      <c r="A21" s="266" t="s">
        <v>227</v>
      </c>
      <c r="B21" s="303"/>
      <c r="C21" s="304">
        <f>B21/0.6</f>
        <v>0</v>
      </c>
      <c r="D21" s="303">
        <v>25421.14</v>
      </c>
      <c r="E21" s="304">
        <f>D21/0.6</f>
        <v>42368.566666666666</v>
      </c>
      <c r="F21" s="305"/>
      <c r="G21" s="304">
        <f>F21/0.6</f>
        <v>0</v>
      </c>
      <c r="H21" s="306"/>
      <c r="I21" s="304">
        <f>H21/0.6</f>
        <v>0</v>
      </c>
      <c r="J21" s="307"/>
      <c r="K21" s="304">
        <f>J21/0.6</f>
        <v>0</v>
      </c>
      <c r="L21" s="277">
        <f t="shared" ref="L21:L24" si="15">SUM(E21+G21+I21+K21+C21)</f>
        <v>42368.566666666666</v>
      </c>
      <c r="M21" s="308"/>
      <c r="N21" s="173">
        <f>N19-N20</f>
        <v>5108.8499999999985</v>
      </c>
      <c r="R21" s="173">
        <f>SUM(R14:R20)</f>
        <v>5982.35</v>
      </c>
    </row>
    <row r="22" spans="1:18">
      <c r="A22" s="266" t="s">
        <v>245</v>
      </c>
      <c r="B22" s="309"/>
      <c r="C22" s="310"/>
      <c r="D22" s="309">
        <v>8159.24</v>
      </c>
      <c r="E22" s="310">
        <v>10206.879999999999</v>
      </c>
      <c r="F22" s="311"/>
      <c r="G22" s="312"/>
      <c r="H22" s="313"/>
      <c r="I22" s="314"/>
      <c r="J22" s="315"/>
      <c r="K22" s="316"/>
      <c r="L22" s="277">
        <f t="shared" si="15"/>
        <v>10206.879999999999</v>
      </c>
      <c r="M22" s="308"/>
    </row>
    <row r="23" spans="1:18">
      <c r="A23" s="266" t="s">
        <v>123</v>
      </c>
      <c r="B23" s="275"/>
      <c r="C23" s="310"/>
      <c r="E23" s="310">
        <v>7230.03</v>
      </c>
      <c r="F23" s="275"/>
      <c r="G23" s="317"/>
      <c r="H23" s="307"/>
      <c r="I23" s="316"/>
      <c r="J23" s="307"/>
      <c r="K23" s="325"/>
      <c r="L23" s="277">
        <f t="shared" si="15"/>
        <v>7230.03</v>
      </c>
      <c r="M23" s="302"/>
    </row>
    <row r="24" spans="1:18">
      <c r="A24" s="266" t="s">
        <v>246</v>
      </c>
      <c r="B24" s="318"/>
      <c r="C24" s="319">
        <f>B24*2</f>
        <v>0</v>
      </c>
      <c r="D24" s="320">
        <v>6098.11</v>
      </c>
      <c r="E24" s="319">
        <f>D24*2</f>
        <v>12196.22</v>
      </c>
      <c r="F24" s="321"/>
      <c r="G24" s="319">
        <f>F24*2</f>
        <v>0</v>
      </c>
      <c r="H24" s="322"/>
      <c r="I24" s="319">
        <f>H24*2</f>
        <v>0</v>
      </c>
      <c r="J24" s="323"/>
      <c r="K24" s="319">
        <f>J24*2</f>
        <v>0</v>
      </c>
      <c r="L24" s="324">
        <f t="shared" si="15"/>
        <v>12196.22</v>
      </c>
      <c r="M24" s="282"/>
    </row>
    <row r="25" spans="1:18">
      <c r="I25" s="265"/>
      <c r="J25" s="265"/>
      <c r="K25" s="265"/>
      <c r="L25" s="325"/>
      <c r="M25" s="302"/>
    </row>
    <row r="26" spans="1:18">
      <c r="A26" s="294" t="s">
        <v>250</v>
      </c>
      <c r="B26" s="341" t="s">
        <v>251</v>
      </c>
      <c r="C26" s="338"/>
      <c r="D26" s="337">
        <v>45725</v>
      </c>
      <c r="E26" s="338"/>
      <c r="F26" s="339">
        <v>45732</v>
      </c>
      <c r="G26" s="338"/>
      <c r="H26" s="339">
        <v>45739</v>
      </c>
      <c r="I26" s="338"/>
      <c r="J26" s="340" t="s">
        <v>252</v>
      </c>
      <c r="K26" s="338"/>
      <c r="L26" s="325" t="s">
        <v>196</v>
      </c>
      <c r="M26" s="302"/>
    </row>
    <row r="27" spans="1:18">
      <c r="B27" s="271" t="s">
        <v>242</v>
      </c>
      <c r="C27" s="295" t="s">
        <v>243</v>
      </c>
      <c r="D27" s="296" t="s">
        <v>242</v>
      </c>
      <c r="E27" s="297" t="s">
        <v>243</v>
      </c>
      <c r="F27" s="296" t="s">
        <v>242</v>
      </c>
      <c r="G27" s="297" t="s">
        <v>243</v>
      </c>
      <c r="H27" s="298" t="s">
        <v>242</v>
      </c>
      <c r="I27" s="299" t="s">
        <v>243</v>
      </c>
      <c r="J27" s="300" t="s">
        <v>242</v>
      </c>
      <c r="K27" s="301" t="s">
        <v>243</v>
      </c>
      <c r="L27" s="325"/>
      <c r="M27" s="302"/>
    </row>
    <row r="28" spans="1:18">
      <c r="A28" s="266" t="s">
        <v>227</v>
      </c>
      <c r="B28" s="303"/>
      <c r="C28" s="304">
        <f>B28/0.6</f>
        <v>0</v>
      </c>
      <c r="D28" s="303"/>
      <c r="E28" s="304">
        <f>D28/0.6</f>
        <v>0</v>
      </c>
      <c r="F28" s="305"/>
      <c r="G28" s="304">
        <f>F28/0.6</f>
        <v>0</v>
      </c>
      <c r="H28" s="306"/>
      <c r="I28" s="304">
        <f>H28/0.6</f>
        <v>0</v>
      </c>
      <c r="J28" s="307"/>
      <c r="K28" s="304">
        <f>J28/0.6</f>
        <v>0</v>
      </c>
      <c r="L28" s="277">
        <f t="shared" ref="L28:L31" si="16">SUM(E28+G28+I28+K28+C28)</f>
        <v>0</v>
      </c>
      <c r="M28" s="302"/>
    </row>
    <row r="29" spans="1:18">
      <c r="A29" s="266" t="s">
        <v>245</v>
      </c>
      <c r="B29" s="309"/>
      <c r="C29" s="310"/>
      <c r="D29" s="309"/>
      <c r="E29" s="310"/>
      <c r="F29" s="311"/>
      <c r="G29" s="312"/>
      <c r="H29" s="313"/>
      <c r="I29" s="314"/>
      <c r="J29" s="315"/>
      <c r="K29" s="316"/>
      <c r="L29" s="277">
        <f t="shared" si="16"/>
        <v>0</v>
      </c>
      <c r="M29" s="302"/>
    </row>
    <row r="30" spans="1:18">
      <c r="A30" s="266" t="s">
        <v>123</v>
      </c>
      <c r="B30" s="275"/>
      <c r="C30" s="310"/>
      <c r="E30" s="310"/>
      <c r="F30" s="275"/>
      <c r="G30" s="317"/>
      <c r="H30" s="307"/>
      <c r="I30" s="316"/>
      <c r="J30" s="307"/>
      <c r="K30" s="325"/>
      <c r="L30" s="277">
        <f t="shared" si="16"/>
        <v>0</v>
      </c>
      <c r="M30" s="302"/>
    </row>
    <row r="31" spans="1:18">
      <c r="A31" s="266" t="s">
        <v>246</v>
      </c>
      <c r="B31" s="318"/>
      <c r="C31" s="319">
        <f>B31*2</f>
        <v>0</v>
      </c>
      <c r="D31" s="320"/>
      <c r="E31" s="319">
        <f>D31*2</f>
        <v>0</v>
      </c>
      <c r="F31" s="321"/>
      <c r="G31" s="319">
        <f>F31*2</f>
        <v>0</v>
      </c>
      <c r="H31" s="322"/>
      <c r="I31" s="319">
        <f>H31*2</f>
        <v>0</v>
      </c>
      <c r="J31" s="323"/>
      <c r="K31" s="319">
        <f>J31*2</f>
        <v>0</v>
      </c>
      <c r="L31" s="324">
        <f t="shared" si="16"/>
        <v>0</v>
      </c>
      <c r="M31" s="302"/>
    </row>
    <row r="32" spans="1:18">
      <c r="L32" s="325"/>
      <c r="M32" s="302"/>
    </row>
    <row r="33" spans="1:13">
      <c r="A33" s="294" t="s">
        <v>253</v>
      </c>
      <c r="B33" s="341" t="s">
        <v>254</v>
      </c>
      <c r="C33" s="338"/>
      <c r="D33" s="337">
        <v>45753</v>
      </c>
      <c r="E33" s="338"/>
      <c r="F33" s="337">
        <v>45760</v>
      </c>
      <c r="G33" s="338"/>
      <c r="H33" s="339">
        <v>45767</v>
      </c>
      <c r="I33" s="338"/>
      <c r="J33" s="340" t="s">
        <v>255</v>
      </c>
      <c r="K33" s="338"/>
      <c r="L33" s="325"/>
      <c r="M33" s="302"/>
    </row>
    <row r="34" spans="1:13">
      <c r="B34" s="271" t="s">
        <v>242</v>
      </c>
      <c r="C34" s="295" t="s">
        <v>243</v>
      </c>
      <c r="D34" s="296" t="s">
        <v>242</v>
      </c>
      <c r="E34" s="297" t="s">
        <v>243</v>
      </c>
      <c r="F34" s="296" t="s">
        <v>242</v>
      </c>
      <c r="G34" s="297" t="s">
        <v>243</v>
      </c>
      <c r="H34" s="298" t="s">
        <v>242</v>
      </c>
      <c r="I34" s="299" t="s">
        <v>243</v>
      </c>
      <c r="J34" s="300" t="s">
        <v>242</v>
      </c>
      <c r="K34" s="301" t="s">
        <v>243</v>
      </c>
      <c r="L34" s="325"/>
      <c r="M34" s="302"/>
    </row>
    <row r="35" spans="1:13">
      <c r="A35" s="266" t="s">
        <v>227</v>
      </c>
      <c r="B35" s="303"/>
      <c r="C35" s="304">
        <f>B35/0.6</f>
        <v>0</v>
      </c>
      <c r="D35" s="303"/>
      <c r="E35" s="304">
        <f>D35/0.6</f>
        <v>0</v>
      </c>
      <c r="F35" s="305"/>
      <c r="G35" s="304">
        <f>F35/0.6</f>
        <v>0</v>
      </c>
      <c r="H35" s="306"/>
      <c r="I35" s="304">
        <f>H35/0.6</f>
        <v>0</v>
      </c>
      <c r="J35" s="307"/>
      <c r="K35" s="304">
        <f>J35/0.6</f>
        <v>0</v>
      </c>
      <c r="L35" s="277">
        <f t="shared" ref="L35:L38" si="17">SUM(E35+G35+I35+K35+C35)</f>
        <v>0</v>
      </c>
      <c r="M35" s="302"/>
    </row>
    <row r="36" spans="1:13">
      <c r="A36" s="266" t="s">
        <v>245</v>
      </c>
      <c r="B36" s="309"/>
      <c r="C36" s="310"/>
      <c r="D36" s="309"/>
      <c r="E36" s="310"/>
      <c r="F36" s="311"/>
      <c r="G36" s="312"/>
      <c r="H36" s="313"/>
      <c r="I36" s="314"/>
      <c r="J36" s="315"/>
      <c r="K36" s="316"/>
      <c r="L36" s="277">
        <f t="shared" si="17"/>
        <v>0</v>
      </c>
      <c r="M36" s="302"/>
    </row>
    <row r="37" spans="1:13">
      <c r="A37" s="266" t="s">
        <v>123</v>
      </c>
      <c r="B37" s="275"/>
      <c r="C37" s="310"/>
      <c r="E37" s="310"/>
      <c r="F37" s="275"/>
      <c r="G37" s="317"/>
      <c r="H37" s="307"/>
      <c r="I37" s="316"/>
      <c r="J37" s="307"/>
      <c r="K37" s="325"/>
      <c r="L37" s="277">
        <f t="shared" si="17"/>
        <v>0</v>
      </c>
      <c r="M37" s="302"/>
    </row>
    <row r="38" spans="1:13">
      <c r="A38" s="266" t="s">
        <v>246</v>
      </c>
      <c r="B38" s="318"/>
      <c r="C38" s="319">
        <f>B38*2</f>
        <v>0</v>
      </c>
      <c r="D38" s="320"/>
      <c r="E38" s="319">
        <f>D38*2</f>
        <v>0</v>
      </c>
      <c r="F38" s="321"/>
      <c r="G38" s="319">
        <f>F38*2</f>
        <v>0</v>
      </c>
      <c r="H38" s="322"/>
      <c r="I38" s="319">
        <f>H38*2</f>
        <v>0</v>
      </c>
      <c r="J38" s="323"/>
      <c r="K38" s="319">
        <f>J38*2</f>
        <v>0</v>
      </c>
      <c r="L38" s="324">
        <f t="shared" si="17"/>
        <v>0</v>
      </c>
      <c r="M38" s="302"/>
    </row>
    <row r="39" spans="1:13">
      <c r="I39" s="265"/>
      <c r="J39" s="265"/>
      <c r="K39" s="265"/>
      <c r="L39" s="325"/>
      <c r="M39" s="302"/>
    </row>
    <row r="40" spans="1:13">
      <c r="A40" s="294" t="s">
        <v>217</v>
      </c>
      <c r="B40" s="341" t="s">
        <v>256</v>
      </c>
      <c r="C40" s="338"/>
      <c r="D40" s="337">
        <v>45781</v>
      </c>
      <c r="E40" s="338"/>
      <c r="F40" s="337">
        <v>45788</v>
      </c>
      <c r="G40" s="338"/>
      <c r="H40" s="339">
        <v>45795</v>
      </c>
      <c r="I40" s="338"/>
      <c r="J40" s="342">
        <v>45802</v>
      </c>
      <c r="K40" s="338"/>
      <c r="L40" s="325"/>
      <c r="M40" s="302"/>
    </row>
    <row r="41" spans="1:13">
      <c r="B41" s="271" t="s">
        <v>242</v>
      </c>
      <c r="C41" s="295" t="s">
        <v>243</v>
      </c>
      <c r="D41" s="296" t="s">
        <v>242</v>
      </c>
      <c r="E41" s="297" t="s">
        <v>243</v>
      </c>
      <c r="F41" s="296" t="s">
        <v>242</v>
      </c>
      <c r="G41" s="297" t="s">
        <v>243</v>
      </c>
      <c r="H41" s="298" t="s">
        <v>242</v>
      </c>
      <c r="I41" s="299" t="s">
        <v>243</v>
      </c>
      <c r="J41" s="300" t="s">
        <v>242</v>
      </c>
      <c r="K41" s="301" t="s">
        <v>243</v>
      </c>
      <c r="L41" s="325"/>
      <c r="M41" s="302"/>
    </row>
    <row r="42" spans="1:13">
      <c r="A42" s="266" t="s">
        <v>227</v>
      </c>
      <c r="B42" s="303"/>
      <c r="C42" s="304">
        <f>B42/0.6</f>
        <v>0</v>
      </c>
      <c r="D42" s="303"/>
      <c r="E42" s="304">
        <f>D42/0.6</f>
        <v>0</v>
      </c>
      <c r="F42" s="305"/>
      <c r="G42" s="304">
        <f>F42/0.6</f>
        <v>0</v>
      </c>
      <c r="H42" s="306"/>
      <c r="I42" s="304">
        <f>H42/0.6</f>
        <v>0</v>
      </c>
      <c r="J42" s="307"/>
      <c r="K42" s="304">
        <f>J42/0.6</f>
        <v>0</v>
      </c>
      <c r="L42" s="277">
        <f t="shared" ref="L42:L45" si="18">SUM(E42+G42+I42+K42+C42)</f>
        <v>0</v>
      </c>
      <c r="M42" s="302"/>
    </row>
    <row r="43" spans="1:13">
      <c r="A43" s="266" t="s">
        <v>245</v>
      </c>
      <c r="B43" s="309"/>
      <c r="C43" s="310"/>
      <c r="D43" s="309"/>
      <c r="E43" s="310"/>
      <c r="F43" s="311"/>
      <c r="G43" s="312"/>
      <c r="H43" s="313"/>
      <c r="I43" s="314"/>
      <c r="J43" s="315"/>
      <c r="K43" s="316"/>
      <c r="L43" s="277">
        <f t="shared" si="18"/>
        <v>0</v>
      </c>
      <c r="M43" s="302"/>
    </row>
    <row r="44" spans="1:13">
      <c r="A44" s="266" t="s">
        <v>123</v>
      </c>
      <c r="B44" s="275"/>
      <c r="C44" s="310"/>
      <c r="E44" s="310"/>
      <c r="F44" s="275"/>
      <c r="G44" s="317"/>
      <c r="H44" s="307"/>
      <c r="I44" s="316"/>
      <c r="J44" s="307"/>
      <c r="K44" s="325"/>
      <c r="L44" s="277">
        <f t="shared" si="18"/>
        <v>0</v>
      </c>
      <c r="M44" s="302"/>
    </row>
    <row r="45" spans="1:13">
      <c r="A45" s="266" t="s">
        <v>246</v>
      </c>
      <c r="B45" s="318"/>
      <c r="C45" s="319">
        <f>B45*2</f>
        <v>0</v>
      </c>
      <c r="D45" s="320"/>
      <c r="E45" s="319">
        <f>D45*2</f>
        <v>0</v>
      </c>
      <c r="F45" s="321"/>
      <c r="G45" s="319">
        <f>F45*2</f>
        <v>0</v>
      </c>
      <c r="H45" s="322"/>
      <c r="I45" s="319">
        <f>H45*2</f>
        <v>0</v>
      </c>
      <c r="J45" s="323"/>
      <c r="K45" s="319">
        <f>J45*2</f>
        <v>0</v>
      </c>
      <c r="L45" s="324">
        <f t="shared" si="18"/>
        <v>0</v>
      </c>
      <c r="M45" s="302"/>
    </row>
    <row r="46" spans="1:13">
      <c r="L46" s="325"/>
      <c r="M46" s="302"/>
    </row>
    <row r="47" spans="1:13">
      <c r="A47" s="294" t="s">
        <v>257</v>
      </c>
      <c r="B47" s="337">
        <v>45809</v>
      </c>
      <c r="C47" s="338"/>
      <c r="D47" s="337">
        <v>45816</v>
      </c>
      <c r="E47" s="338"/>
      <c r="F47" s="337">
        <v>45823</v>
      </c>
      <c r="G47" s="338"/>
      <c r="H47" s="339">
        <v>45830</v>
      </c>
      <c r="I47" s="338"/>
      <c r="J47" s="340" t="s">
        <v>258</v>
      </c>
      <c r="K47" s="338"/>
      <c r="L47" s="325"/>
      <c r="M47" s="302"/>
    </row>
    <row r="48" spans="1:13">
      <c r="B48" s="271" t="s">
        <v>242</v>
      </c>
      <c r="C48" s="295" t="s">
        <v>243</v>
      </c>
      <c r="D48" s="296" t="s">
        <v>242</v>
      </c>
      <c r="E48" s="297" t="s">
        <v>243</v>
      </c>
      <c r="F48" s="296" t="s">
        <v>242</v>
      </c>
      <c r="G48" s="297" t="s">
        <v>243</v>
      </c>
      <c r="H48" s="298" t="s">
        <v>242</v>
      </c>
      <c r="I48" s="299" t="s">
        <v>243</v>
      </c>
      <c r="J48" s="300" t="s">
        <v>242</v>
      </c>
      <c r="K48" s="301" t="s">
        <v>243</v>
      </c>
      <c r="L48" s="325"/>
      <c r="M48" s="302"/>
    </row>
    <row r="49" spans="1:13">
      <c r="A49" s="266" t="s">
        <v>227</v>
      </c>
      <c r="B49" s="303"/>
      <c r="C49" s="304">
        <f>B49/0.6</f>
        <v>0</v>
      </c>
      <c r="D49" s="303"/>
      <c r="E49" s="304">
        <f>D49/0.6</f>
        <v>0</v>
      </c>
      <c r="F49" s="305"/>
      <c r="G49" s="304">
        <f>F49/0.6</f>
        <v>0</v>
      </c>
      <c r="H49" s="306"/>
      <c r="I49" s="304">
        <f>H49/0.6</f>
        <v>0</v>
      </c>
      <c r="J49" s="307"/>
      <c r="K49" s="304">
        <f>J49/0.6</f>
        <v>0</v>
      </c>
      <c r="L49" s="277">
        <f t="shared" ref="L49:L52" si="19">SUM(E49+G49+I49+K49+C49)</f>
        <v>0</v>
      </c>
      <c r="M49" s="302"/>
    </row>
    <row r="50" spans="1:13">
      <c r="A50" s="266" t="s">
        <v>245</v>
      </c>
      <c r="B50" s="309"/>
      <c r="C50" s="310"/>
      <c r="D50" s="309"/>
      <c r="E50" s="310"/>
      <c r="F50" s="311"/>
      <c r="G50" s="312"/>
      <c r="H50" s="313"/>
      <c r="I50" s="314"/>
      <c r="J50" s="315"/>
      <c r="K50" s="316"/>
      <c r="L50" s="277">
        <f t="shared" si="19"/>
        <v>0</v>
      </c>
      <c r="M50" s="302"/>
    </row>
    <row r="51" spans="1:13">
      <c r="A51" s="266" t="s">
        <v>123</v>
      </c>
      <c r="B51" s="275"/>
      <c r="C51" s="310"/>
      <c r="E51" s="310"/>
      <c r="F51" s="275"/>
      <c r="G51" s="317"/>
      <c r="H51" s="307"/>
      <c r="I51" s="316"/>
      <c r="J51" s="307"/>
      <c r="K51" s="325"/>
      <c r="L51" s="277">
        <f t="shared" si="19"/>
        <v>0</v>
      </c>
      <c r="M51" s="302"/>
    </row>
    <row r="52" spans="1:13">
      <c r="A52" s="266" t="s">
        <v>246</v>
      </c>
      <c r="B52" s="318"/>
      <c r="C52" s="319">
        <f>B52*2</f>
        <v>0</v>
      </c>
      <c r="D52" s="320"/>
      <c r="E52" s="319">
        <f>D52*2</f>
        <v>0</v>
      </c>
      <c r="F52" s="321"/>
      <c r="G52" s="319">
        <f>F52*2</f>
        <v>0</v>
      </c>
      <c r="H52" s="322"/>
      <c r="I52" s="319">
        <f>H52*2</f>
        <v>0</v>
      </c>
      <c r="J52" s="323"/>
      <c r="K52" s="319">
        <f>J52*2</f>
        <v>0</v>
      </c>
      <c r="L52" s="324">
        <f t="shared" si="19"/>
        <v>0</v>
      </c>
      <c r="M52" s="302"/>
    </row>
    <row r="53" spans="1:13">
      <c r="I53" s="265"/>
      <c r="J53" s="265"/>
      <c r="K53" s="265"/>
      <c r="L53" s="325"/>
      <c r="M53" s="302"/>
    </row>
    <row r="54" spans="1:13">
      <c r="A54" s="294" t="s">
        <v>219</v>
      </c>
      <c r="B54" s="341" t="s">
        <v>259</v>
      </c>
      <c r="C54" s="338"/>
      <c r="D54" s="337">
        <v>45844</v>
      </c>
      <c r="E54" s="338"/>
      <c r="F54" s="337">
        <v>45851</v>
      </c>
      <c r="G54" s="338"/>
      <c r="H54" s="339">
        <v>45858</v>
      </c>
      <c r="I54" s="338"/>
      <c r="J54" s="340" t="s">
        <v>260</v>
      </c>
      <c r="K54" s="338"/>
      <c r="L54" s="325"/>
      <c r="M54" s="302"/>
    </row>
    <row r="55" spans="1:13">
      <c r="B55" s="271" t="s">
        <v>242</v>
      </c>
      <c r="C55" s="295" t="s">
        <v>243</v>
      </c>
      <c r="D55" s="296" t="s">
        <v>242</v>
      </c>
      <c r="E55" s="297" t="s">
        <v>243</v>
      </c>
      <c r="F55" s="296" t="s">
        <v>242</v>
      </c>
      <c r="G55" s="297" t="s">
        <v>243</v>
      </c>
      <c r="H55" s="298" t="s">
        <v>242</v>
      </c>
      <c r="I55" s="299" t="s">
        <v>243</v>
      </c>
      <c r="J55" s="300" t="s">
        <v>242</v>
      </c>
      <c r="K55" s="301" t="s">
        <v>243</v>
      </c>
      <c r="L55" s="325"/>
      <c r="M55" s="302"/>
    </row>
    <row r="56" spans="1:13">
      <c r="A56" s="266" t="s">
        <v>227</v>
      </c>
      <c r="B56" s="303"/>
      <c r="C56" s="304">
        <f>B56/0.6</f>
        <v>0</v>
      </c>
      <c r="D56" s="303"/>
      <c r="E56" s="304">
        <f>D56/0.6</f>
        <v>0</v>
      </c>
      <c r="F56" s="305"/>
      <c r="G56" s="304">
        <f>F56/0.6</f>
        <v>0</v>
      </c>
      <c r="H56" s="306"/>
      <c r="I56" s="304">
        <f>H56/0.6</f>
        <v>0</v>
      </c>
      <c r="J56" s="307"/>
      <c r="K56" s="304">
        <f>J56/0.6</f>
        <v>0</v>
      </c>
      <c r="L56" s="277">
        <f t="shared" ref="L56:L59" si="20">SUM(E56+G56+I56+K56+C56)</f>
        <v>0</v>
      </c>
      <c r="M56" s="302"/>
    </row>
    <row r="57" spans="1:13">
      <c r="A57" s="266" t="s">
        <v>245</v>
      </c>
      <c r="B57" s="309"/>
      <c r="C57" s="310"/>
      <c r="D57" s="309"/>
      <c r="E57" s="310"/>
      <c r="F57" s="311"/>
      <c r="G57" s="312"/>
      <c r="H57" s="313"/>
      <c r="I57" s="314"/>
      <c r="J57" s="315"/>
      <c r="K57" s="316"/>
      <c r="L57" s="277">
        <f t="shared" si="20"/>
        <v>0</v>
      </c>
      <c r="M57" s="302"/>
    </row>
    <row r="58" spans="1:13">
      <c r="A58" s="266" t="s">
        <v>123</v>
      </c>
      <c r="B58" s="275"/>
      <c r="C58" s="310"/>
      <c r="E58" s="310"/>
      <c r="F58" s="275"/>
      <c r="G58" s="317"/>
      <c r="H58" s="307"/>
      <c r="I58" s="316"/>
      <c r="J58" s="307"/>
      <c r="K58" s="325"/>
      <c r="L58" s="277">
        <f t="shared" si="20"/>
        <v>0</v>
      </c>
      <c r="M58" s="302"/>
    </row>
    <row r="59" spans="1:13">
      <c r="A59" s="266" t="s">
        <v>246</v>
      </c>
      <c r="B59" s="318"/>
      <c r="C59" s="319">
        <f>B59*2</f>
        <v>0</v>
      </c>
      <c r="D59" s="320"/>
      <c r="E59" s="319">
        <f>D59*2</f>
        <v>0</v>
      </c>
      <c r="F59" s="321"/>
      <c r="G59" s="319">
        <f>F59*2</f>
        <v>0</v>
      </c>
      <c r="H59" s="322"/>
      <c r="I59" s="319">
        <f>H59*2</f>
        <v>0</v>
      </c>
      <c r="J59" s="323"/>
      <c r="K59" s="319">
        <f>J59*2</f>
        <v>0</v>
      </c>
      <c r="L59" s="324">
        <f t="shared" si="20"/>
        <v>0</v>
      </c>
      <c r="M59" s="302"/>
    </row>
    <row r="60" spans="1:13">
      <c r="L60" s="325"/>
      <c r="M60" s="302"/>
    </row>
    <row r="61" spans="1:13">
      <c r="A61" s="294" t="s">
        <v>220</v>
      </c>
      <c r="B61" s="341" t="s">
        <v>261</v>
      </c>
      <c r="C61" s="338"/>
      <c r="D61" s="337">
        <v>45872</v>
      </c>
      <c r="E61" s="338"/>
      <c r="F61" s="337">
        <v>45879</v>
      </c>
      <c r="G61" s="338"/>
      <c r="H61" s="339">
        <v>45886</v>
      </c>
      <c r="I61" s="338"/>
      <c r="J61" s="340" t="s">
        <v>262</v>
      </c>
      <c r="K61" s="338"/>
      <c r="L61" s="325"/>
      <c r="M61" s="302"/>
    </row>
    <row r="62" spans="1:13">
      <c r="B62" s="271" t="s">
        <v>242</v>
      </c>
      <c r="C62" s="295" t="s">
        <v>243</v>
      </c>
      <c r="D62" s="296" t="s">
        <v>242</v>
      </c>
      <c r="E62" s="297" t="s">
        <v>243</v>
      </c>
      <c r="F62" s="296" t="s">
        <v>242</v>
      </c>
      <c r="G62" s="297" t="s">
        <v>243</v>
      </c>
      <c r="H62" s="298" t="s">
        <v>242</v>
      </c>
      <c r="I62" s="299" t="s">
        <v>243</v>
      </c>
      <c r="J62" s="300" t="s">
        <v>242</v>
      </c>
      <c r="K62" s="301" t="s">
        <v>243</v>
      </c>
      <c r="L62" s="325" t="s">
        <v>263</v>
      </c>
      <c r="M62" s="302"/>
    </row>
    <row r="63" spans="1:13">
      <c r="A63" s="266" t="s">
        <v>227</v>
      </c>
      <c r="B63" s="303"/>
      <c r="C63" s="304">
        <f>B63/0.6</f>
        <v>0</v>
      </c>
      <c r="D63" s="303"/>
      <c r="E63" s="304">
        <f>D63/0.6</f>
        <v>0</v>
      </c>
      <c r="F63" s="305"/>
      <c r="G63" s="304">
        <f>F63/0.6</f>
        <v>0</v>
      </c>
      <c r="H63" s="306"/>
      <c r="I63" s="304">
        <f>H63/0.6</f>
        <v>0</v>
      </c>
      <c r="J63" s="307"/>
      <c r="K63" s="304">
        <f>J63/0.6</f>
        <v>0</v>
      </c>
      <c r="L63" s="277">
        <f t="shared" ref="L63:L66" si="21">SUM(E63+G63+I63+K63+C63)</f>
        <v>0</v>
      </c>
      <c r="M63" s="302"/>
    </row>
    <row r="64" spans="1:13">
      <c r="A64" s="266" t="s">
        <v>245</v>
      </c>
      <c r="B64" s="309"/>
      <c r="C64" s="310"/>
      <c r="D64" s="309"/>
      <c r="E64" s="310"/>
      <c r="F64" s="311"/>
      <c r="G64" s="312"/>
      <c r="H64" s="313"/>
      <c r="I64" s="314"/>
      <c r="J64" s="315"/>
      <c r="K64" s="316"/>
      <c r="L64" s="277">
        <f t="shared" si="21"/>
        <v>0</v>
      </c>
      <c r="M64" s="302"/>
    </row>
    <row r="65" spans="1:15">
      <c r="A65" s="266" t="s">
        <v>123</v>
      </c>
      <c r="B65" s="275"/>
      <c r="C65" s="310"/>
      <c r="E65" s="310"/>
      <c r="F65" s="275"/>
      <c r="G65" s="317"/>
      <c r="H65" s="307"/>
      <c r="I65" s="316"/>
      <c r="J65" s="307"/>
      <c r="K65" s="325"/>
      <c r="L65" s="277">
        <f t="shared" si="21"/>
        <v>0</v>
      </c>
      <c r="M65" s="302"/>
    </row>
    <row r="66" spans="1:15">
      <c r="A66" s="266" t="s">
        <v>246</v>
      </c>
      <c r="B66" s="318"/>
      <c r="C66" s="319">
        <f>B66*2</f>
        <v>0</v>
      </c>
      <c r="D66" s="320"/>
      <c r="E66" s="319">
        <f>D66*2</f>
        <v>0</v>
      </c>
      <c r="F66" s="321"/>
      <c r="G66" s="319">
        <f>F66*2</f>
        <v>0</v>
      </c>
      <c r="H66" s="322"/>
      <c r="I66" s="319">
        <f>H66*2</f>
        <v>0</v>
      </c>
      <c r="J66" s="323"/>
      <c r="K66" s="319">
        <f>J66*2</f>
        <v>0</v>
      </c>
      <c r="L66" s="324">
        <f t="shared" si="21"/>
        <v>0</v>
      </c>
      <c r="M66" s="302"/>
    </row>
    <row r="68" spans="1:15">
      <c r="A68" s="294" t="s">
        <v>221</v>
      </c>
      <c r="B68" s="341" t="s">
        <v>264</v>
      </c>
      <c r="C68" s="338"/>
      <c r="D68" s="337">
        <v>45907</v>
      </c>
      <c r="E68" s="338"/>
      <c r="F68" s="337">
        <v>45914</v>
      </c>
      <c r="G68" s="338"/>
      <c r="H68" s="339">
        <v>45921</v>
      </c>
      <c r="I68" s="338"/>
      <c r="J68" s="340" t="s">
        <v>265</v>
      </c>
      <c r="K68" s="338"/>
      <c r="L68" s="267" t="s">
        <v>266</v>
      </c>
      <c r="M68" s="267"/>
    </row>
    <row r="69" spans="1:15">
      <c r="B69" s="271" t="s">
        <v>242</v>
      </c>
      <c r="C69" s="295" t="s">
        <v>243</v>
      </c>
      <c r="D69" s="296" t="s">
        <v>242</v>
      </c>
      <c r="E69" s="297" t="s">
        <v>243</v>
      </c>
      <c r="F69" s="296" t="s">
        <v>242</v>
      </c>
      <c r="G69" s="297" t="s">
        <v>243</v>
      </c>
      <c r="H69" s="298" t="s">
        <v>242</v>
      </c>
      <c r="I69" s="299" t="s">
        <v>243</v>
      </c>
      <c r="J69" s="300" t="s">
        <v>242</v>
      </c>
      <c r="K69" s="301" t="s">
        <v>243</v>
      </c>
      <c r="L69" s="267" t="s">
        <v>243</v>
      </c>
      <c r="M69" s="302"/>
    </row>
    <row r="70" spans="1:15">
      <c r="A70" s="266" t="s">
        <v>227</v>
      </c>
      <c r="B70" s="303"/>
      <c r="C70" s="304">
        <f>B70/0.6</f>
        <v>0</v>
      </c>
      <c r="D70" s="303"/>
      <c r="E70" s="304">
        <f>D70/0.6</f>
        <v>0</v>
      </c>
      <c r="F70" s="305"/>
      <c r="G70" s="304">
        <f>F70/0.6</f>
        <v>0</v>
      </c>
      <c r="H70" s="306"/>
      <c r="I70" s="304">
        <f>H70/0.6</f>
        <v>0</v>
      </c>
      <c r="J70" s="307"/>
      <c r="K70" s="304">
        <f>J70/0.6</f>
        <v>0</v>
      </c>
      <c r="L70" s="277">
        <f t="shared" ref="L70:L73" si="22">SUM(E70+G70+I70+K70+C70)</f>
        <v>0</v>
      </c>
      <c r="M70" s="308"/>
    </row>
    <row r="71" spans="1:15">
      <c r="A71" s="266" t="s">
        <v>245</v>
      </c>
      <c r="B71" s="309"/>
      <c r="C71" s="310"/>
      <c r="D71" s="309"/>
      <c r="E71" s="310"/>
      <c r="F71" s="311"/>
      <c r="G71" s="312"/>
      <c r="H71" s="313"/>
      <c r="I71" s="314"/>
      <c r="J71" s="315"/>
      <c r="K71" s="316"/>
      <c r="L71" s="277">
        <f t="shared" si="22"/>
        <v>0</v>
      </c>
      <c r="M71" s="308"/>
    </row>
    <row r="72" spans="1:15">
      <c r="A72" s="266" t="s">
        <v>123</v>
      </c>
      <c r="B72" s="275"/>
      <c r="C72" s="310"/>
      <c r="E72" s="310"/>
      <c r="F72" s="275"/>
      <c r="G72" s="317"/>
      <c r="H72" s="307"/>
      <c r="I72" s="316"/>
      <c r="J72" s="307"/>
      <c r="K72" s="325"/>
      <c r="L72" s="277">
        <f t="shared" si="22"/>
        <v>0</v>
      </c>
      <c r="M72" s="302"/>
    </row>
    <row r="73" spans="1:15">
      <c r="A73" s="266" t="s">
        <v>246</v>
      </c>
      <c r="B73" s="318"/>
      <c r="C73" s="319">
        <f>B73*2</f>
        <v>0</v>
      </c>
      <c r="D73" s="320"/>
      <c r="E73" s="319">
        <f>D73*2</f>
        <v>0</v>
      </c>
      <c r="F73" s="321"/>
      <c r="G73" s="319">
        <f>F73*2</f>
        <v>0</v>
      </c>
      <c r="H73" s="322"/>
      <c r="I73" s="319">
        <f>H73*2</f>
        <v>0</v>
      </c>
      <c r="J73" s="323"/>
      <c r="K73" s="319">
        <f>J73*2</f>
        <v>0</v>
      </c>
      <c r="L73" s="277">
        <f t="shared" si="22"/>
        <v>0</v>
      </c>
      <c r="M73" s="302"/>
    </row>
    <row r="75" spans="1:15">
      <c r="A75" s="294" t="s">
        <v>222</v>
      </c>
      <c r="B75" s="341" t="s">
        <v>267</v>
      </c>
      <c r="C75" s="338"/>
      <c r="D75" s="337">
        <v>45935</v>
      </c>
      <c r="E75" s="338"/>
      <c r="F75" s="337">
        <v>45942</v>
      </c>
      <c r="G75" s="338"/>
      <c r="H75" s="339">
        <v>45949</v>
      </c>
      <c r="I75" s="338"/>
      <c r="J75" s="342">
        <v>45956</v>
      </c>
      <c r="K75" s="338"/>
      <c r="L75" s="267" t="s">
        <v>268</v>
      </c>
      <c r="M75" s="267"/>
    </row>
    <row r="76" spans="1:15">
      <c r="B76" s="271" t="s">
        <v>242</v>
      </c>
      <c r="C76" s="295" t="s">
        <v>243</v>
      </c>
      <c r="D76" s="296" t="s">
        <v>242</v>
      </c>
      <c r="E76" s="297" t="s">
        <v>243</v>
      </c>
      <c r="F76" s="296" t="s">
        <v>242</v>
      </c>
      <c r="G76" s="297" t="s">
        <v>243</v>
      </c>
      <c r="H76" s="298" t="s">
        <v>242</v>
      </c>
      <c r="I76" s="299" t="s">
        <v>243</v>
      </c>
      <c r="J76" s="300" t="s">
        <v>242</v>
      </c>
      <c r="K76" s="301" t="s">
        <v>243</v>
      </c>
      <c r="L76" s="267" t="s">
        <v>243</v>
      </c>
      <c r="M76" s="302"/>
    </row>
    <row r="77" spans="1:15">
      <c r="A77" s="266" t="s">
        <v>227</v>
      </c>
      <c r="B77" s="303"/>
      <c r="C77" s="304">
        <f>B77/0.6</f>
        <v>0</v>
      </c>
      <c r="D77" s="303"/>
      <c r="E77" s="304">
        <f>D77/0.6</f>
        <v>0</v>
      </c>
      <c r="F77" s="305"/>
      <c r="G77" s="304">
        <f>F77/0.6</f>
        <v>0</v>
      </c>
      <c r="H77" s="306"/>
      <c r="I77" s="304">
        <f>H77/0.6</f>
        <v>0</v>
      </c>
      <c r="J77" s="307"/>
      <c r="K77" s="304">
        <f>J77/0.6</f>
        <v>0</v>
      </c>
      <c r="L77" s="277">
        <f t="shared" ref="L77:L80" si="23">SUM(E77+G77+I77+K77+C77)</f>
        <v>0</v>
      </c>
      <c r="M77" s="308"/>
    </row>
    <row r="78" spans="1:15">
      <c r="A78" s="266" t="s">
        <v>245</v>
      </c>
      <c r="B78" s="309"/>
      <c r="C78" s="310"/>
      <c r="D78" s="309"/>
      <c r="E78" s="310"/>
      <c r="F78" s="311"/>
      <c r="G78" s="312"/>
      <c r="H78" s="313"/>
      <c r="I78" s="314"/>
      <c r="J78" s="315"/>
      <c r="K78" s="316"/>
      <c r="L78" s="277">
        <f t="shared" si="23"/>
        <v>0</v>
      </c>
      <c r="M78" s="308"/>
      <c r="N78" s="277"/>
    </row>
    <row r="79" spans="1:15">
      <c r="A79" s="266" t="s">
        <v>123</v>
      </c>
      <c r="B79" s="275"/>
      <c r="C79" s="310"/>
      <c r="E79" s="310"/>
      <c r="F79" s="275"/>
      <c r="G79" s="317"/>
      <c r="H79" s="307"/>
      <c r="I79" s="316"/>
      <c r="J79" s="307"/>
      <c r="K79" s="325"/>
      <c r="L79" s="277">
        <f t="shared" si="23"/>
        <v>0</v>
      </c>
      <c r="M79" s="302"/>
    </row>
    <row r="80" spans="1:15">
      <c r="A80" s="266" t="s">
        <v>246</v>
      </c>
      <c r="B80" s="318"/>
      <c r="C80" s="319">
        <f>B80*2</f>
        <v>0</v>
      </c>
      <c r="D80" s="320"/>
      <c r="E80" s="319">
        <f>D80*2</f>
        <v>0</v>
      </c>
      <c r="F80" s="321"/>
      <c r="G80" s="319">
        <f>F80*2</f>
        <v>0</v>
      </c>
      <c r="H80" s="322"/>
      <c r="I80" s="319">
        <f>H80*2</f>
        <v>0</v>
      </c>
      <c r="J80" s="323"/>
      <c r="K80" s="319">
        <f>J80*2</f>
        <v>0</v>
      </c>
      <c r="L80" s="324">
        <f t="shared" si="23"/>
        <v>0</v>
      </c>
      <c r="M80" s="282"/>
      <c r="N80" s="326">
        <v>45310.26</v>
      </c>
      <c r="O80" s="326">
        <f>N80-L80</f>
        <v>45310.26</v>
      </c>
    </row>
    <row r="82" spans="1:13">
      <c r="A82" s="294" t="s">
        <v>223</v>
      </c>
      <c r="B82" s="341" t="s">
        <v>269</v>
      </c>
      <c r="C82" s="338"/>
      <c r="D82" s="337">
        <v>45970</v>
      </c>
      <c r="E82" s="338"/>
      <c r="F82" s="337">
        <v>45977</v>
      </c>
      <c r="G82" s="338"/>
      <c r="H82" s="339">
        <v>45984</v>
      </c>
      <c r="I82" s="338"/>
      <c r="J82" s="342">
        <v>45991</v>
      </c>
      <c r="K82" s="338"/>
      <c r="L82" s="267" t="s">
        <v>270</v>
      </c>
      <c r="M82" s="267"/>
    </row>
    <row r="83" spans="1:13">
      <c r="B83" s="271" t="s">
        <v>242</v>
      </c>
      <c r="C83" s="295" t="s">
        <v>243</v>
      </c>
      <c r="D83" s="296" t="s">
        <v>242</v>
      </c>
      <c r="E83" s="297" t="s">
        <v>243</v>
      </c>
      <c r="F83" s="296" t="s">
        <v>242</v>
      </c>
      <c r="G83" s="297" t="s">
        <v>243</v>
      </c>
      <c r="H83" s="298" t="s">
        <v>242</v>
      </c>
      <c r="I83" s="299" t="s">
        <v>243</v>
      </c>
      <c r="J83" s="300" t="s">
        <v>242</v>
      </c>
      <c r="K83" s="301" t="s">
        <v>243</v>
      </c>
      <c r="L83" s="267" t="s">
        <v>243</v>
      </c>
      <c r="M83" s="302"/>
    </row>
    <row r="84" spans="1:13">
      <c r="A84" s="266" t="s">
        <v>227</v>
      </c>
      <c r="B84" s="303"/>
      <c r="C84" s="304">
        <f>B84/0.6</f>
        <v>0</v>
      </c>
      <c r="D84" s="303"/>
      <c r="E84" s="304">
        <f>D84/0.6</f>
        <v>0</v>
      </c>
      <c r="F84" s="305"/>
      <c r="G84" s="304">
        <f>F84/0.6</f>
        <v>0</v>
      </c>
      <c r="H84" s="306"/>
      <c r="I84" s="304">
        <f>H84/0.6</f>
        <v>0</v>
      </c>
      <c r="J84" s="307"/>
      <c r="K84" s="304">
        <f>J84/0.6</f>
        <v>0</v>
      </c>
      <c r="L84" s="277">
        <f t="shared" ref="L84:L87" si="24">SUM(E84+G84+I84+K84+C84)</f>
        <v>0</v>
      </c>
      <c r="M84" s="308"/>
    </row>
    <row r="85" spans="1:13">
      <c r="A85" s="266" t="s">
        <v>245</v>
      </c>
      <c r="B85" s="309"/>
      <c r="C85" s="310"/>
      <c r="D85" s="309"/>
      <c r="E85" s="310"/>
      <c r="F85" s="311"/>
      <c r="G85" s="312"/>
      <c r="H85" s="313"/>
      <c r="I85" s="314"/>
      <c r="J85" s="315"/>
      <c r="K85" s="316"/>
      <c r="L85" s="277">
        <f t="shared" si="24"/>
        <v>0</v>
      </c>
      <c r="M85" s="308"/>
    </row>
    <row r="86" spans="1:13">
      <c r="A86" s="266" t="s">
        <v>123</v>
      </c>
      <c r="B86" s="275"/>
      <c r="C86" s="310"/>
      <c r="E86" s="310"/>
      <c r="F86" s="275"/>
      <c r="G86" s="317"/>
      <c r="H86" s="307"/>
      <c r="I86" s="316"/>
      <c r="J86" s="307"/>
      <c r="K86" s="325"/>
      <c r="L86" s="277">
        <f t="shared" si="24"/>
        <v>0</v>
      </c>
      <c r="M86" s="302"/>
    </row>
    <row r="87" spans="1:13">
      <c r="A87" s="266" t="s">
        <v>246</v>
      </c>
      <c r="B87" s="318"/>
      <c r="C87" s="319">
        <f>B87*2</f>
        <v>0</v>
      </c>
      <c r="D87" s="320"/>
      <c r="E87" s="319">
        <f>D87*2</f>
        <v>0</v>
      </c>
      <c r="F87" s="321"/>
      <c r="G87" s="319">
        <f>F87*2</f>
        <v>0</v>
      </c>
      <c r="H87" s="322"/>
      <c r="I87" s="319">
        <f>H87*2</f>
        <v>0</v>
      </c>
      <c r="J87" s="323"/>
      <c r="K87" s="319">
        <f>J87*2</f>
        <v>0</v>
      </c>
      <c r="L87" s="324">
        <f t="shared" si="24"/>
        <v>0</v>
      </c>
      <c r="M87" s="282"/>
    </row>
    <row r="89" spans="1:13">
      <c r="A89" s="294" t="s">
        <v>224</v>
      </c>
      <c r="B89" s="341" t="s">
        <v>271</v>
      </c>
      <c r="C89" s="338"/>
      <c r="D89" s="337">
        <v>45998</v>
      </c>
      <c r="E89" s="338"/>
      <c r="F89" s="337">
        <v>46005</v>
      </c>
      <c r="G89" s="338"/>
      <c r="H89" s="339">
        <v>46012</v>
      </c>
      <c r="I89" s="338"/>
      <c r="J89" s="340" t="s">
        <v>272</v>
      </c>
      <c r="K89" s="338"/>
      <c r="L89" s="267" t="s">
        <v>273</v>
      </c>
      <c r="M89" s="267"/>
    </row>
    <row r="90" spans="1:13">
      <c r="B90" s="271" t="s">
        <v>242</v>
      </c>
      <c r="C90" s="295" t="s">
        <v>243</v>
      </c>
      <c r="D90" s="296" t="s">
        <v>242</v>
      </c>
      <c r="E90" s="297" t="s">
        <v>243</v>
      </c>
      <c r="F90" s="296" t="s">
        <v>242</v>
      </c>
      <c r="G90" s="297" t="s">
        <v>243</v>
      </c>
      <c r="H90" s="298" t="s">
        <v>242</v>
      </c>
      <c r="I90" s="299" t="s">
        <v>243</v>
      </c>
      <c r="J90" s="300" t="s">
        <v>242</v>
      </c>
      <c r="K90" s="301" t="s">
        <v>243</v>
      </c>
      <c r="L90" s="267" t="s">
        <v>243</v>
      </c>
      <c r="M90" s="302"/>
    </row>
    <row r="91" spans="1:13">
      <c r="A91" s="266" t="s">
        <v>227</v>
      </c>
      <c r="B91" s="303"/>
      <c r="C91" s="304">
        <f>B91/0.6</f>
        <v>0</v>
      </c>
      <c r="D91" s="303"/>
      <c r="E91" s="304">
        <f>D91/0.6</f>
        <v>0</v>
      </c>
      <c r="F91" s="305"/>
      <c r="G91" s="304">
        <f>F91/0.6</f>
        <v>0</v>
      </c>
      <c r="H91" s="306"/>
      <c r="I91" s="304">
        <f>H91/0.6</f>
        <v>0</v>
      </c>
      <c r="J91" s="307"/>
      <c r="K91" s="304">
        <f>J91/0.6</f>
        <v>0</v>
      </c>
      <c r="L91" s="277">
        <f t="shared" ref="L91:L94" si="25">SUM(E91+G91+I91+K91+C91)</f>
        <v>0</v>
      </c>
      <c r="M91" s="308"/>
    </row>
    <row r="92" spans="1:13">
      <c r="A92" s="266" t="s">
        <v>245</v>
      </c>
      <c r="B92" s="309"/>
      <c r="C92" s="310"/>
      <c r="D92" s="309"/>
      <c r="E92" s="310"/>
      <c r="F92" s="311"/>
      <c r="G92" s="312"/>
      <c r="H92" s="313"/>
      <c r="I92" s="314"/>
      <c r="J92" s="315"/>
      <c r="K92" s="316"/>
      <c r="L92" s="277">
        <f t="shared" si="25"/>
        <v>0</v>
      </c>
      <c r="M92" s="308"/>
    </row>
    <row r="93" spans="1:13">
      <c r="A93" s="266" t="s">
        <v>123</v>
      </c>
      <c r="B93" s="275"/>
      <c r="C93" s="310"/>
      <c r="E93" s="310"/>
      <c r="F93" s="275"/>
      <c r="G93" s="317"/>
      <c r="H93" s="307"/>
      <c r="I93" s="316"/>
      <c r="J93" s="307"/>
      <c r="K93" s="325"/>
      <c r="L93" s="277">
        <f t="shared" si="25"/>
        <v>0</v>
      </c>
      <c r="M93" s="302"/>
    </row>
    <row r="94" spans="1:13">
      <c r="A94" s="266" t="s">
        <v>246</v>
      </c>
      <c r="B94" s="318"/>
      <c r="C94" s="319">
        <f>B94*2</f>
        <v>0</v>
      </c>
      <c r="D94" s="320"/>
      <c r="E94" s="319">
        <f>D94*2</f>
        <v>0</v>
      </c>
      <c r="F94" s="321"/>
      <c r="G94" s="319">
        <f>F94*2</f>
        <v>0</v>
      </c>
      <c r="H94" s="322"/>
      <c r="I94" s="319">
        <f>H94*2</f>
        <v>0</v>
      </c>
      <c r="J94" s="323"/>
      <c r="K94" s="319">
        <f>J94*2</f>
        <v>0</v>
      </c>
      <c r="L94" s="324">
        <f t="shared" si="25"/>
        <v>0</v>
      </c>
      <c r="M94" s="282"/>
    </row>
  </sheetData>
  <mergeCells count="60">
    <mergeCell ref="B82:C82"/>
    <mergeCell ref="D82:E82"/>
    <mergeCell ref="F82:G82"/>
    <mergeCell ref="H82:I82"/>
    <mergeCell ref="J82:K82"/>
    <mergeCell ref="B89:C89"/>
    <mergeCell ref="D89:E89"/>
    <mergeCell ref="F89:G89"/>
    <mergeCell ref="H89:I89"/>
    <mergeCell ref="J89:K89"/>
    <mergeCell ref="B68:C68"/>
    <mergeCell ref="D68:E68"/>
    <mergeCell ref="F68:G68"/>
    <mergeCell ref="H68:I68"/>
    <mergeCell ref="J68:K68"/>
    <mergeCell ref="B75:C75"/>
    <mergeCell ref="D75:E75"/>
    <mergeCell ref="F75:G75"/>
    <mergeCell ref="H75:I75"/>
    <mergeCell ref="J75:K75"/>
    <mergeCell ref="B54:C54"/>
    <mergeCell ref="D54:E54"/>
    <mergeCell ref="F54:G54"/>
    <mergeCell ref="H54:I54"/>
    <mergeCell ref="J54:K54"/>
    <mergeCell ref="B61:C61"/>
    <mergeCell ref="D61:E61"/>
    <mergeCell ref="F61:G61"/>
    <mergeCell ref="H61:I61"/>
    <mergeCell ref="J61:K61"/>
    <mergeCell ref="B40:C40"/>
    <mergeCell ref="D40:E40"/>
    <mergeCell ref="F40:G40"/>
    <mergeCell ref="H40:I40"/>
    <mergeCell ref="J40:K40"/>
    <mergeCell ref="B47:C47"/>
    <mergeCell ref="D47:E47"/>
    <mergeCell ref="F47:G47"/>
    <mergeCell ref="H47:I47"/>
    <mergeCell ref="J47:K47"/>
    <mergeCell ref="B26:C26"/>
    <mergeCell ref="D26:E26"/>
    <mergeCell ref="F26:G26"/>
    <mergeCell ref="H26:I26"/>
    <mergeCell ref="J26:K26"/>
    <mergeCell ref="B33:C33"/>
    <mergeCell ref="D33:E33"/>
    <mergeCell ref="F33:G33"/>
    <mergeCell ref="H33:I33"/>
    <mergeCell ref="J33:K33"/>
    <mergeCell ref="B12:C12"/>
    <mergeCell ref="D12:E12"/>
    <mergeCell ref="F12:G12"/>
    <mergeCell ref="H12:I12"/>
    <mergeCell ref="J12:K12"/>
    <mergeCell ref="B19:C19"/>
    <mergeCell ref="D19:E19"/>
    <mergeCell ref="F19:G19"/>
    <mergeCell ref="H19:I19"/>
    <mergeCell ref="J19:K19"/>
  </mergeCells>
  <hyperlinks>
    <hyperlink ref="O3" r:id="rId1" xr:uid="{16FF44FB-C11D-4896-9535-2B37FA03EE78}"/>
    <hyperlink ref="O4" r:id="rId2" xr:uid="{63C2AE6B-DFAE-4733-809A-A31A860898CF}"/>
    <hyperlink ref="O5" r:id="rId3" xr:uid="{807E9979-3668-4103-A4B9-4E2CCE92EADB}"/>
    <hyperlink ref="O6" r:id="rId4" xr:uid="{18F9CF51-A5DE-4126-8804-FA82DED33E5F}"/>
    <hyperlink ref="O7" r:id="rId5" xr:uid="{59B5350D-6D7B-4C4A-906D-268C8A98FB2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1F42-C131-4A67-A51D-08B4D5072A04}">
  <sheetPr>
    <tabColor theme="5" tint="0.39997558519241921"/>
  </sheetPr>
  <dimension ref="A1:S107"/>
  <sheetViews>
    <sheetView zoomScale="70" zoomScaleNormal="70" workbookViewId="0">
      <pane ySplit="1" topLeftCell="A65" activePane="bottomLeft" state="frozen"/>
      <selection pane="bottomLeft" activeCell="B96" sqref="B96"/>
    </sheetView>
  </sheetViews>
  <sheetFormatPr defaultRowHeight="15"/>
  <cols>
    <col min="1" max="1" width="12.85546875" customWidth="1"/>
    <col min="2" max="2" width="80.140625" bestFit="1" customWidth="1"/>
    <col min="3" max="3" width="19.140625" customWidth="1"/>
    <col min="4" max="4" width="15.85546875" customWidth="1"/>
    <col min="5" max="13" width="16.42578125" customWidth="1"/>
    <col min="14" max="14" width="16.42578125" bestFit="1" customWidth="1"/>
    <col min="15" max="15" width="16.85546875" customWidth="1"/>
    <col min="16" max="18" width="16.42578125" bestFit="1" customWidth="1"/>
    <col min="19" max="19" width="18.140625" bestFit="1" customWidth="1"/>
  </cols>
  <sheetData>
    <row r="1" spans="1:19" s="108" customFormat="1" ht="15.75" thickBot="1">
      <c r="A1" s="108">
        <v>15</v>
      </c>
      <c r="B1" s="108" t="s">
        <v>125</v>
      </c>
      <c r="C1" s="175">
        <v>46023</v>
      </c>
      <c r="D1" s="176">
        <v>46054</v>
      </c>
      <c r="E1" s="176">
        <v>45717</v>
      </c>
      <c r="F1" s="176">
        <v>46113</v>
      </c>
      <c r="G1" s="176">
        <v>46143</v>
      </c>
      <c r="H1" s="176">
        <v>46174</v>
      </c>
      <c r="I1" s="176">
        <v>46204</v>
      </c>
      <c r="J1" s="176">
        <v>46235</v>
      </c>
      <c r="K1" s="176">
        <v>46266</v>
      </c>
      <c r="L1" s="176">
        <v>46296</v>
      </c>
      <c r="M1" s="176">
        <v>46327</v>
      </c>
      <c r="N1" s="176">
        <v>46357</v>
      </c>
      <c r="O1" s="177" t="s">
        <v>6</v>
      </c>
      <c r="P1" s="108" t="s">
        <v>7</v>
      </c>
      <c r="Q1" s="108" t="s">
        <v>8</v>
      </c>
      <c r="R1" s="108" t="s">
        <v>9</v>
      </c>
      <c r="S1" s="108" t="s">
        <v>71</v>
      </c>
    </row>
    <row r="2" spans="1:19" ht="15.75" thickBot="1">
      <c r="A2" s="178" t="s">
        <v>126</v>
      </c>
      <c r="B2" s="179" t="s">
        <v>127</v>
      </c>
      <c r="C2" s="180">
        <v>133119.35999999999</v>
      </c>
      <c r="D2" s="180">
        <v>102909.11</v>
      </c>
      <c r="E2" s="180">
        <v>86865.99</v>
      </c>
      <c r="F2" s="180">
        <v>48803.26</v>
      </c>
      <c r="G2" s="180">
        <v>45144.68</v>
      </c>
      <c r="H2" s="180">
        <v>46172.65</v>
      </c>
      <c r="I2" s="180">
        <v>41944.68</v>
      </c>
      <c r="J2" s="180">
        <v>51582.51</v>
      </c>
      <c r="K2" s="180">
        <v>44834.83</v>
      </c>
      <c r="L2" s="180">
        <v>49094.080000000002</v>
      </c>
      <c r="M2" s="180">
        <v>51691.68</v>
      </c>
      <c r="N2" s="180">
        <v>39290.11</v>
      </c>
      <c r="O2" s="181">
        <f>SUM(C2:E2)</f>
        <v>322894.45999999996</v>
      </c>
      <c r="P2" s="181">
        <f>SUM(F2:H2)</f>
        <v>140120.59</v>
      </c>
      <c r="Q2" s="181">
        <f>SUM(I2:K2)</f>
        <v>138362.02000000002</v>
      </c>
      <c r="R2" s="181">
        <f>SUM(L2:N2)</f>
        <v>140075.87</v>
      </c>
      <c r="S2" s="181">
        <f>SUM(C2:N2)</f>
        <v>741452.94</v>
      </c>
    </row>
    <row r="3" spans="1:19" ht="15.75" thickBot="1">
      <c r="A3" s="178" t="s">
        <v>126</v>
      </c>
      <c r="B3" s="179" t="s">
        <v>128</v>
      </c>
      <c r="C3" s="180">
        <v>1050</v>
      </c>
      <c r="D3" s="180">
        <v>0</v>
      </c>
      <c r="E3" s="180">
        <v>1050</v>
      </c>
      <c r="F3" s="180"/>
      <c r="G3" s="180"/>
      <c r="H3" s="180"/>
      <c r="I3" s="180"/>
      <c r="J3" s="180"/>
      <c r="K3" s="180"/>
      <c r="L3" s="180"/>
      <c r="M3" s="180"/>
      <c r="N3" s="180"/>
      <c r="O3" s="181">
        <f t="shared" ref="O3:O66" si="0">SUM(C3:E3)</f>
        <v>2100</v>
      </c>
      <c r="P3" s="181">
        <f t="shared" ref="P3:P66" si="1">SUM(F3:H3)</f>
        <v>0</v>
      </c>
      <c r="Q3" s="181">
        <f t="shared" ref="Q3:Q66" si="2">SUM(I3:K3)</f>
        <v>0</v>
      </c>
      <c r="R3" s="181">
        <f t="shared" ref="R3:R66" si="3">SUM(L3:N3)</f>
        <v>0</v>
      </c>
      <c r="S3" s="181">
        <f t="shared" ref="S3:S66" si="4">SUM(C3:N3)</f>
        <v>2100</v>
      </c>
    </row>
    <row r="4" spans="1:19" ht="15.75" thickBot="1">
      <c r="A4" s="178" t="s">
        <v>126</v>
      </c>
      <c r="B4" s="179" t="s">
        <v>129</v>
      </c>
      <c r="C4" s="180">
        <v>45733.39</v>
      </c>
      <c r="D4" s="180">
        <v>34429.4</v>
      </c>
      <c r="E4" s="180">
        <v>33383.4</v>
      </c>
      <c r="F4" s="180">
        <v>16473.900000000001</v>
      </c>
      <c r="G4" s="180">
        <v>12973.9</v>
      </c>
      <c r="H4" s="180">
        <v>14723.9</v>
      </c>
      <c r="I4" s="180">
        <v>14723.9</v>
      </c>
      <c r="J4" s="180">
        <v>14723.9</v>
      </c>
      <c r="K4" s="180">
        <v>12973.9</v>
      </c>
      <c r="L4" s="180">
        <v>16523.900000000001</v>
      </c>
      <c r="M4" s="180">
        <v>16523.900000000001</v>
      </c>
      <c r="N4" s="180">
        <v>13148.9</v>
      </c>
      <c r="O4" s="181">
        <f t="shared" si="0"/>
        <v>113546.19</v>
      </c>
      <c r="P4" s="181">
        <f t="shared" si="1"/>
        <v>44171.700000000004</v>
      </c>
      <c r="Q4" s="181">
        <f t="shared" si="2"/>
        <v>42421.7</v>
      </c>
      <c r="R4" s="181">
        <f t="shared" si="3"/>
        <v>46196.700000000004</v>
      </c>
      <c r="S4" s="181">
        <f t="shared" si="4"/>
        <v>246336.28999999995</v>
      </c>
    </row>
    <row r="5" spans="1:19" ht="15.75" thickBot="1">
      <c r="A5" s="178" t="s">
        <v>126</v>
      </c>
      <c r="B5" s="179" t="s">
        <v>130</v>
      </c>
      <c r="C5" s="180">
        <v>12004.06</v>
      </c>
      <c r="D5" s="180">
        <v>9561.06</v>
      </c>
      <c r="E5" s="180">
        <v>8281.06</v>
      </c>
      <c r="F5" s="180">
        <v>4167.0200000000004</v>
      </c>
      <c r="G5" s="180">
        <v>3417.02</v>
      </c>
      <c r="H5" s="180">
        <v>3417.02</v>
      </c>
      <c r="I5" s="180">
        <v>4167.0200000000004</v>
      </c>
      <c r="J5" s="180">
        <v>3417.02</v>
      </c>
      <c r="K5" s="180">
        <v>4847.0200000000004</v>
      </c>
      <c r="L5" s="180">
        <v>3417.02</v>
      </c>
      <c r="M5" s="180">
        <v>4167.0200000000004</v>
      </c>
      <c r="N5" s="180">
        <v>3417.02</v>
      </c>
      <c r="O5" s="181">
        <f t="shared" si="0"/>
        <v>29846.18</v>
      </c>
      <c r="P5" s="181">
        <f t="shared" si="1"/>
        <v>11001.060000000001</v>
      </c>
      <c r="Q5" s="181">
        <f t="shared" si="2"/>
        <v>12431.060000000001</v>
      </c>
      <c r="R5" s="181">
        <f t="shared" si="3"/>
        <v>11001.060000000001</v>
      </c>
      <c r="S5" s="181">
        <f t="shared" si="4"/>
        <v>64279.359999999979</v>
      </c>
    </row>
    <row r="6" spans="1:19" ht="15.75" thickBot="1">
      <c r="A6" s="178" t="s">
        <v>126</v>
      </c>
      <c r="B6" s="179" t="s">
        <v>131</v>
      </c>
      <c r="C6" s="180">
        <v>32796.49</v>
      </c>
      <c r="D6" s="180">
        <v>30691.49</v>
      </c>
      <c r="E6" s="180">
        <v>26991.49</v>
      </c>
      <c r="F6" s="180">
        <v>19731.490000000002</v>
      </c>
      <c r="G6" s="180">
        <v>21231.49</v>
      </c>
      <c r="H6" s="180">
        <v>19731.490000000002</v>
      </c>
      <c r="I6" s="180">
        <v>23356.49</v>
      </c>
      <c r="J6" s="180">
        <v>18531.490000000002</v>
      </c>
      <c r="K6" s="180">
        <v>22431.49</v>
      </c>
      <c r="L6" s="180">
        <v>18531.490000000002</v>
      </c>
      <c r="M6" s="180">
        <v>20117.21</v>
      </c>
      <c r="N6" s="180">
        <v>18720.78</v>
      </c>
      <c r="O6" s="181">
        <f t="shared" si="0"/>
        <v>90479.47</v>
      </c>
      <c r="P6" s="181">
        <f t="shared" si="1"/>
        <v>60694.47</v>
      </c>
      <c r="Q6" s="181">
        <f t="shared" si="2"/>
        <v>64319.47</v>
      </c>
      <c r="R6" s="181">
        <f t="shared" si="3"/>
        <v>57369.479999999996</v>
      </c>
      <c r="S6" s="181">
        <f t="shared" si="4"/>
        <v>272862.88999999996</v>
      </c>
    </row>
    <row r="7" spans="1:19" ht="15.75" thickBot="1">
      <c r="A7" s="178" t="s">
        <v>126</v>
      </c>
      <c r="B7" s="179" t="s">
        <v>132</v>
      </c>
      <c r="C7" s="180">
        <v>1400</v>
      </c>
      <c r="D7" s="180">
        <v>0</v>
      </c>
      <c r="E7" s="180">
        <v>1400</v>
      </c>
      <c r="F7" s="180"/>
      <c r="G7" s="180"/>
      <c r="H7" s="180"/>
      <c r="I7" s="180"/>
      <c r="J7" s="180"/>
      <c r="K7" s="180"/>
      <c r="L7" s="180"/>
      <c r="M7" s="180"/>
      <c r="N7" s="180"/>
      <c r="O7" s="181">
        <f t="shared" si="0"/>
        <v>2800</v>
      </c>
      <c r="P7" s="181">
        <f t="shared" si="1"/>
        <v>0</v>
      </c>
      <c r="Q7" s="181">
        <f t="shared" si="2"/>
        <v>0</v>
      </c>
      <c r="R7" s="181">
        <f t="shared" si="3"/>
        <v>0</v>
      </c>
      <c r="S7" s="181">
        <f t="shared" si="4"/>
        <v>2800</v>
      </c>
    </row>
    <row r="8" spans="1:19" ht="15.75" thickBot="1">
      <c r="A8" s="178" t="s">
        <v>126</v>
      </c>
      <c r="B8" s="179" t="s">
        <v>133</v>
      </c>
      <c r="C8" s="180">
        <v>7210.5</v>
      </c>
      <c r="D8" s="180">
        <v>4510.5</v>
      </c>
      <c r="E8" s="180">
        <v>6260.5</v>
      </c>
      <c r="F8" s="180">
        <v>4510.5</v>
      </c>
      <c r="G8" s="180">
        <v>4510.5</v>
      </c>
      <c r="H8" s="180">
        <v>4510.5</v>
      </c>
      <c r="I8" s="180">
        <v>4510.5</v>
      </c>
      <c r="J8" s="180">
        <v>4510.5</v>
      </c>
      <c r="K8" s="180">
        <v>4510.5</v>
      </c>
      <c r="L8" s="180">
        <v>4510.5</v>
      </c>
      <c r="M8" s="180">
        <v>4510.5</v>
      </c>
      <c r="N8" s="180">
        <v>4510.5</v>
      </c>
      <c r="O8" s="181">
        <f t="shared" si="0"/>
        <v>17981.5</v>
      </c>
      <c r="P8" s="181">
        <f t="shared" si="1"/>
        <v>13531.5</v>
      </c>
      <c r="Q8" s="181">
        <f t="shared" si="2"/>
        <v>13531.5</v>
      </c>
      <c r="R8" s="181">
        <f t="shared" si="3"/>
        <v>13531.5</v>
      </c>
      <c r="S8" s="181">
        <f t="shared" si="4"/>
        <v>58576</v>
      </c>
    </row>
    <row r="9" spans="1:19" ht="15" customHeight="1" thickBot="1">
      <c r="A9" s="178" t="s">
        <v>126</v>
      </c>
      <c r="B9" s="179" t="s">
        <v>134</v>
      </c>
      <c r="C9" s="180">
        <v>8513.5</v>
      </c>
      <c r="D9" s="180">
        <v>3613.5</v>
      </c>
      <c r="E9" s="180">
        <v>11513.5</v>
      </c>
      <c r="F9" s="180">
        <v>5113.5</v>
      </c>
      <c r="G9" s="180">
        <v>5113.5</v>
      </c>
      <c r="H9" s="180">
        <v>5113.5</v>
      </c>
      <c r="I9" s="180">
        <v>5113.5</v>
      </c>
      <c r="J9" s="180">
        <v>3613.5</v>
      </c>
      <c r="K9" s="180">
        <v>3613.5</v>
      </c>
      <c r="L9" s="180">
        <v>3613.5</v>
      </c>
      <c r="M9" s="180">
        <v>3613.5</v>
      </c>
      <c r="N9" s="180">
        <v>3613.5</v>
      </c>
      <c r="O9" s="181">
        <f t="shared" si="0"/>
        <v>23640.5</v>
      </c>
      <c r="P9" s="181">
        <f t="shared" si="1"/>
        <v>15340.5</v>
      </c>
      <c r="Q9" s="181">
        <f t="shared" si="2"/>
        <v>12340.5</v>
      </c>
      <c r="R9" s="181">
        <f t="shared" si="3"/>
        <v>10840.5</v>
      </c>
      <c r="S9" s="181">
        <f t="shared" si="4"/>
        <v>62162</v>
      </c>
    </row>
    <row r="10" spans="1:19" ht="15" customHeight="1" thickBot="1">
      <c r="A10" s="178" t="s">
        <v>126</v>
      </c>
      <c r="B10" s="179" t="s">
        <v>135</v>
      </c>
      <c r="C10" s="180">
        <v>68541.070000000007</v>
      </c>
      <c r="D10" s="180">
        <v>60045.06</v>
      </c>
      <c r="E10" s="180">
        <v>48143.06</v>
      </c>
      <c r="F10" s="180">
        <v>39945.06</v>
      </c>
      <c r="G10" s="180">
        <v>20395.060000000001</v>
      </c>
      <c r="H10" s="180">
        <v>24645.06</v>
      </c>
      <c r="I10" s="180">
        <v>24645.06</v>
      </c>
      <c r="J10" s="180">
        <v>28895.06</v>
      </c>
      <c r="K10" s="180">
        <v>20395.060000000001</v>
      </c>
      <c r="L10" s="180">
        <v>24645.06</v>
      </c>
      <c r="M10" s="180">
        <v>29645.06</v>
      </c>
      <c r="N10" s="180">
        <v>6897.06</v>
      </c>
      <c r="O10" s="181">
        <f t="shared" si="0"/>
        <v>176729.19</v>
      </c>
      <c r="P10" s="181">
        <f t="shared" si="1"/>
        <v>84985.18</v>
      </c>
      <c r="Q10" s="181">
        <f t="shared" si="2"/>
        <v>73935.180000000008</v>
      </c>
      <c r="R10" s="181">
        <f t="shared" si="3"/>
        <v>61187.18</v>
      </c>
      <c r="S10" s="181">
        <f t="shared" si="4"/>
        <v>396836.73</v>
      </c>
    </row>
    <row r="11" spans="1:19" ht="15" customHeight="1" thickBot="1">
      <c r="A11" s="178" t="s">
        <v>126</v>
      </c>
      <c r="B11" s="179" t="s">
        <v>136</v>
      </c>
      <c r="C11" s="180">
        <v>1050</v>
      </c>
      <c r="D11" s="180">
        <v>0</v>
      </c>
      <c r="E11" s="180">
        <v>1050</v>
      </c>
      <c r="F11" s="180"/>
      <c r="G11" s="180"/>
      <c r="H11" s="180"/>
      <c r="I11" s="180"/>
      <c r="J11" s="180"/>
      <c r="K11" s="180"/>
      <c r="L11" s="180"/>
      <c r="M11" s="180"/>
      <c r="N11" s="180"/>
      <c r="O11" s="181">
        <f t="shared" si="0"/>
        <v>2100</v>
      </c>
      <c r="P11" s="181">
        <f t="shared" si="1"/>
        <v>0</v>
      </c>
      <c r="Q11" s="181">
        <f t="shared" si="2"/>
        <v>0</v>
      </c>
      <c r="R11" s="181">
        <f t="shared" si="3"/>
        <v>0</v>
      </c>
      <c r="S11" s="181">
        <f t="shared" si="4"/>
        <v>2100</v>
      </c>
    </row>
    <row r="12" spans="1:19" ht="15.75" thickBot="1">
      <c r="A12" s="178" t="s">
        <v>126</v>
      </c>
      <c r="B12" s="179" t="s">
        <v>137</v>
      </c>
      <c r="C12" s="180">
        <v>52089.8</v>
      </c>
      <c r="D12" s="180">
        <v>43987</v>
      </c>
      <c r="E12" s="180">
        <v>54564.800000000003</v>
      </c>
      <c r="F12" s="180">
        <v>23212</v>
      </c>
      <c r="G12" s="180">
        <v>19169.8</v>
      </c>
      <c r="H12" s="180">
        <v>19812</v>
      </c>
      <c r="I12" s="180">
        <v>22144.799999999999</v>
      </c>
      <c r="J12" s="180">
        <v>19812</v>
      </c>
      <c r="K12" s="180">
        <v>22144.799999999999</v>
      </c>
      <c r="L12" s="180">
        <v>19812</v>
      </c>
      <c r="M12" s="180">
        <v>22144.799999999999</v>
      </c>
      <c r="N12" s="180">
        <v>19812</v>
      </c>
      <c r="O12" s="181">
        <f t="shared" si="0"/>
        <v>150641.60000000001</v>
      </c>
      <c r="P12" s="181">
        <f t="shared" si="1"/>
        <v>62193.8</v>
      </c>
      <c r="Q12" s="181">
        <f t="shared" si="2"/>
        <v>64101.600000000006</v>
      </c>
      <c r="R12" s="181">
        <f t="shared" si="3"/>
        <v>61768.800000000003</v>
      </c>
      <c r="S12" s="181">
        <f t="shared" si="4"/>
        <v>338705.8</v>
      </c>
    </row>
    <row r="13" spans="1:19" ht="15.75" thickBot="1">
      <c r="A13" s="178" t="s">
        <v>126</v>
      </c>
      <c r="B13" s="179" t="s">
        <v>138</v>
      </c>
      <c r="C13" s="180">
        <v>62238.239999999998</v>
      </c>
      <c r="D13" s="180">
        <v>51520.99</v>
      </c>
      <c r="E13" s="180">
        <v>62420.99</v>
      </c>
      <c r="F13" s="180">
        <v>23719.49</v>
      </c>
      <c r="G13" s="180">
        <v>19752.240000000002</v>
      </c>
      <c r="H13" s="180">
        <v>19752.240000000002</v>
      </c>
      <c r="I13" s="180">
        <v>23719.49</v>
      </c>
      <c r="J13" s="180">
        <v>19752.240000000002</v>
      </c>
      <c r="K13" s="180">
        <v>19752.240000000002</v>
      </c>
      <c r="L13" s="180">
        <v>23719.49</v>
      </c>
      <c r="M13" s="180">
        <v>23152.240000000002</v>
      </c>
      <c r="N13" s="180">
        <v>18780.810000000001</v>
      </c>
      <c r="O13" s="181">
        <f t="shared" si="0"/>
        <v>176180.22</v>
      </c>
      <c r="P13" s="181">
        <f t="shared" si="1"/>
        <v>63223.97</v>
      </c>
      <c r="Q13" s="181">
        <f t="shared" si="2"/>
        <v>63223.97</v>
      </c>
      <c r="R13" s="181">
        <f t="shared" si="3"/>
        <v>65652.540000000008</v>
      </c>
      <c r="S13" s="181">
        <f t="shared" si="4"/>
        <v>368280.69999999995</v>
      </c>
    </row>
    <row r="14" spans="1:19" ht="15.75" thickBot="1">
      <c r="A14" s="178" t="s">
        <v>126</v>
      </c>
      <c r="B14" s="179" t="s">
        <v>139</v>
      </c>
      <c r="C14" s="180">
        <v>12920</v>
      </c>
      <c r="D14" s="180">
        <v>12970</v>
      </c>
      <c r="E14" s="180">
        <v>15590</v>
      </c>
      <c r="F14" s="180">
        <v>6670</v>
      </c>
      <c r="G14" s="180">
        <v>4200</v>
      </c>
      <c r="H14" s="180">
        <v>6070</v>
      </c>
      <c r="I14" s="180">
        <v>4270</v>
      </c>
      <c r="J14" s="180">
        <v>7940</v>
      </c>
      <c r="K14" s="180">
        <v>6070</v>
      </c>
      <c r="L14" s="180">
        <v>4270</v>
      </c>
      <c r="M14" s="180">
        <v>4200</v>
      </c>
      <c r="N14" s="180">
        <v>4270</v>
      </c>
      <c r="O14" s="181">
        <f t="shared" si="0"/>
        <v>41480</v>
      </c>
      <c r="P14" s="181">
        <f t="shared" si="1"/>
        <v>16940</v>
      </c>
      <c r="Q14" s="181">
        <f t="shared" si="2"/>
        <v>18280</v>
      </c>
      <c r="R14" s="181">
        <f t="shared" si="3"/>
        <v>12740</v>
      </c>
      <c r="S14" s="181">
        <f t="shared" si="4"/>
        <v>89440</v>
      </c>
    </row>
    <row r="15" spans="1:19" ht="15.75" thickBot="1">
      <c r="A15" s="178" t="s">
        <v>126</v>
      </c>
      <c r="B15" s="179" t="s">
        <v>140</v>
      </c>
      <c r="C15" s="180">
        <v>6188</v>
      </c>
      <c r="D15" s="180">
        <v>5225</v>
      </c>
      <c r="E15" s="180">
        <v>5763</v>
      </c>
      <c r="F15" s="180">
        <v>1375</v>
      </c>
      <c r="G15" s="180">
        <v>925</v>
      </c>
      <c r="H15" s="180">
        <v>925</v>
      </c>
      <c r="I15" s="180">
        <v>1375</v>
      </c>
      <c r="J15" s="180">
        <v>925</v>
      </c>
      <c r="K15" s="180">
        <v>1375</v>
      </c>
      <c r="L15" s="180">
        <v>925</v>
      </c>
      <c r="M15" s="180">
        <v>1375</v>
      </c>
      <c r="N15" s="180">
        <v>925</v>
      </c>
      <c r="O15" s="181">
        <f t="shared" si="0"/>
        <v>17176</v>
      </c>
      <c r="P15" s="181">
        <f t="shared" si="1"/>
        <v>3225</v>
      </c>
      <c r="Q15" s="181">
        <f t="shared" si="2"/>
        <v>3675</v>
      </c>
      <c r="R15" s="181">
        <f t="shared" si="3"/>
        <v>3225</v>
      </c>
      <c r="S15" s="181">
        <f t="shared" si="4"/>
        <v>27301</v>
      </c>
    </row>
    <row r="16" spans="1:19" ht="15.75" thickBot="1">
      <c r="A16" s="178" t="s">
        <v>126</v>
      </c>
      <c r="B16" s="179" t="s">
        <v>141</v>
      </c>
      <c r="C16" s="180">
        <v>910</v>
      </c>
      <c r="D16" s="180">
        <v>250</v>
      </c>
      <c r="E16" s="180">
        <v>910</v>
      </c>
      <c r="F16" s="180">
        <v>250</v>
      </c>
      <c r="G16" s="180">
        <v>250</v>
      </c>
      <c r="H16" s="180">
        <v>250</v>
      </c>
      <c r="I16" s="180">
        <v>250</v>
      </c>
      <c r="J16" s="180">
        <v>250</v>
      </c>
      <c r="K16" s="180">
        <v>250</v>
      </c>
      <c r="L16" s="180">
        <v>250</v>
      </c>
      <c r="M16" s="180">
        <v>250</v>
      </c>
      <c r="N16" s="180">
        <v>250</v>
      </c>
      <c r="O16" s="181">
        <f t="shared" si="0"/>
        <v>2070</v>
      </c>
      <c r="P16" s="181">
        <f t="shared" si="1"/>
        <v>750</v>
      </c>
      <c r="Q16" s="181">
        <f t="shared" si="2"/>
        <v>750</v>
      </c>
      <c r="R16" s="181">
        <f t="shared" si="3"/>
        <v>750</v>
      </c>
      <c r="S16" s="181">
        <f t="shared" si="4"/>
        <v>4320</v>
      </c>
    </row>
    <row r="17" spans="1:19" ht="15.75" thickBot="1">
      <c r="A17" s="178" t="s">
        <v>126</v>
      </c>
      <c r="B17" s="179" t="s">
        <v>142</v>
      </c>
      <c r="C17" s="180">
        <v>200</v>
      </c>
      <c r="D17" s="180">
        <v>400</v>
      </c>
      <c r="E17" s="180">
        <v>0</v>
      </c>
      <c r="F17" s="180">
        <v>400</v>
      </c>
      <c r="G17" s="180">
        <v>200</v>
      </c>
      <c r="H17" s="180">
        <v>200</v>
      </c>
      <c r="I17" s="180">
        <v>200</v>
      </c>
      <c r="J17" s="180">
        <v>200</v>
      </c>
      <c r="K17" s="180">
        <v>200</v>
      </c>
      <c r="L17" s="180">
        <v>200</v>
      </c>
      <c r="M17" s="180">
        <v>200</v>
      </c>
      <c r="N17" s="180">
        <v>200</v>
      </c>
      <c r="O17" s="181">
        <f t="shared" si="0"/>
        <v>600</v>
      </c>
      <c r="P17" s="181">
        <f t="shared" si="1"/>
        <v>800</v>
      </c>
      <c r="Q17" s="181">
        <f t="shared" si="2"/>
        <v>600</v>
      </c>
      <c r="R17" s="181">
        <f t="shared" si="3"/>
        <v>600</v>
      </c>
      <c r="S17" s="181">
        <f t="shared" si="4"/>
        <v>2600</v>
      </c>
    </row>
    <row r="18" spans="1:19" ht="15.75" thickBot="1">
      <c r="A18" s="178" t="s">
        <v>126</v>
      </c>
      <c r="B18" s="179" t="s">
        <v>143</v>
      </c>
      <c r="C18" s="180">
        <v>22565</v>
      </c>
      <c r="D18" s="180">
        <v>24840</v>
      </c>
      <c r="E18" s="180">
        <v>12840</v>
      </c>
      <c r="F18" s="180">
        <v>12800</v>
      </c>
      <c r="G18" s="180">
        <v>6525</v>
      </c>
      <c r="H18" s="180">
        <v>8550</v>
      </c>
      <c r="I18" s="180">
        <v>10550</v>
      </c>
      <c r="J18" s="180">
        <v>8550</v>
      </c>
      <c r="K18" s="180">
        <v>6525</v>
      </c>
      <c r="L18" s="180">
        <v>10550</v>
      </c>
      <c r="M18" s="180">
        <v>8550</v>
      </c>
      <c r="N18" s="180">
        <v>6525</v>
      </c>
      <c r="O18" s="181">
        <f t="shared" si="0"/>
        <v>60245</v>
      </c>
      <c r="P18" s="181">
        <f t="shared" si="1"/>
        <v>27875</v>
      </c>
      <c r="Q18" s="181">
        <f t="shared" si="2"/>
        <v>25625</v>
      </c>
      <c r="R18" s="181">
        <f t="shared" si="3"/>
        <v>25625</v>
      </c>
      <c r="S18" s="181">
        <f t="shared" si="4"/>
        <v>139370</v>
      </c>
    </row>
    <row r="19" spans="1:19" ht="15.75" thickBot="1">
      <c r="A19" s="178" t="s">
        <v>126</v>
      </c>
      <c r="B19" s="179" t="s">
        <v>144</v>
      </c>
      <c r="C19" s="180">
        <v>92762.61</v>
      </c>
      <c r="D19" s="180">
        <v>93387.61</v>
      </c>
      <c r="E19" s="180">
        <v>88287.61</v>
      </c>
      <c r="F19" s="180">
        <v>63312.61</v>
      </c>
      <c r="G19" s="180">
        <v>63312.61</v>
      </c>
      <c r="H19" s="180">
        <v>63312.61</v>
      </c>
      <c r="I19" s="180">
        <v>63312.61</v>
      </c>
      <c r="J19" s="180">
        <v>63312.61</v>
      </c>
      <c r="K19" s="180"/>
      <c r="L19" s="180"/>
      <c r="M19" s="180"/>
      <c r="N19" s="180"/>
      <c r="O19" s="181">
        <f>SUM(C19:E19)</f>
        <v>274437.83</v>
      </c>
      <c r="P19" s="181">
        <f>SUM(F19:H19)</f>
        <v>189937.83000000002</v>
      </c>
      <c r="Q19" s="181">
        <f>SUM(I19:K19)</f>
        <v>126625.22</v>
      </c>
      <c r="R19" s="181">
        <f>SUM(L19:N19)</f>
        <v>0</v>
      </c>
      <c r="S19" s="181">
        <f>SUM(C19:N19)</f>
        <v>591000.88</v>
      </c>
    </row>
    <row r="20" spans="1:19" ht="15.75" thickBot="1">
      <c r="A20" s="178" t="s">
        <v>126</v>
      </c>
      <c r="B20" s="179" t="s">
        <v>145</v>
      </c>
      <c r="C20" s="180">
        <v>25463.23</v>
      </c>
      <c r="D20" s="180">
        <v>16161.46</v>
      </c>
      <c r="E20" s="180">
        <v>25961.46</v>
      </c>
      <c r="F20" s="180">
        <v>7128.23</v>
      </c>
      <c r="G20" s="180">
        <v>10161.459999999999</v>
      </c>
      <c r="H20" s="180">
        <v>4095</v>
      </c>
      <c r="I20" s="180">
        <v>7128.23</v>
      </c>
      <c r="J20" s="180">
        <v>10161.459999999999</v>
      </c>
      <c r="K20" s="180">
        <v>7128.23</v>
      </c>
      <c r="L20" s="180">
        <v>10161.459999999999</v>
      </c>
      <c r="M20" s="180">
        <v>7128.23</v>
      </c>
      <c r="N20" s="180">
        <v>7128.23</v>
      </c>
      <c r="O20" s="181">
        <f t="shared" si="0"/>
        <v>67586.149999999994</v>
      </c>
      <c r="P20" s="181">
        <f t="shared" si="1"/>
        <v>21384.69</v>
      </c>
      <c r="Q20" s="181">
        <f t="shared" si="2"/>
        <v>24417.919999999998</v>
      </c>
      <c r="R20" s="181">
        <f t="shared" si="3"/>
        <v>24417.919999999998</v>
      </c>
      <c r="S20" s="181">
        <f t="shared" si="4"/>
        <v>137806.68</v>
      </c>
    </row>
    <row r="21" spans="1:19" ht="15.75" thickBot="1">
      <c r="A21" s="178" t="s">
        <v>126</v>
      </c>
      <c r="B21" s="179" t="s">
        <v>146</v>
      </c>
      <c r="C21" s="180">
        <v>133545.26999999999</v>
      </c>
      <c r="D21" s="180">
        <v>158293.19</v>
      </c>
      <c r="E21" s="180">
        <v>148674.75</v>
      </c>
      <c r="F21" s="180">
        <v>91927.69</v>
      </c>
      <c r="G21" s="180">
        <v>70496.34</v>
      </c>
      <c r="H21" s="180">
        <v>75171.34</v>
      </c>
      <c r="I21" s="180">
        <v>71673.27</v>
      </c>
      <c r="J21" s="180">
        <v>60202.34</v>
      </c>
      <c r="K21" s="180"/>
      <c r="L21" s="180"/>
      <c r="M21" s="180"/>
      <c r="N21" s="180"/>
      <c r="O21" s="181">
        <f t="shared" si="0"/>
        <v>440513.20999999996</v>
      </c>
      <c r="P21" s="181">
        <f t="shared" si="1"/>
        <v>237595.37</v>
      </c>
      <c r="Q21" s="181">
        <f t="shared" si="2"/>
        <v>131875.60999999999</v>
      </c>
      <c r="R21" s="181">
        <f t="shared" si="3"/>
        <v>0</v>
      </c>
      <c r="S21" s="181">
        <f t="shared" si="4"/>
        <v>809984.18999999983</v>
      </c>
    </row>
    <row r="22" spans="1:19" ht="15.75" thickBot="1">
      <c r="A22" s="178" t="s">
        <v>126</v>
      </c>
      <c r="B22" s="179" t="s">
        <v>147</v>
      </c>
      <c r="C22" s="180">
        <v>41418.5</v>
      </c>
      <c r="D22" s="180">
        <v>30360.400000000001</v>
      </c>
      <c r="E22" s="180">
        <v>43684.9</v>
      </c>
      <c r="F22" s="180">
        <v>19041.599999999999</v>
      </c>
      <c r="G22" s="180">
        <v>18669.7</v>
      </c>
      <c r="H22" s="180">
        <v>19275.2</v>
      </c>
      <c r="I22" s="180">
        <v>21669.7</v>
      </c>
      <c r="J22" s="180">
        <v>22275.200000000001</v>
      </c>
      <c r="K22" s="180">
        <v>21669.7</v>
      </c>
      <c r="L22" s="180">
        <v>24825.200000000001</v>
      </c>
      <c r="M22" s="180">
        <v>24219.7</v>
      </c>
      <c r="N22" s="180">
        <v>22325.200000000001</v>
      </c>
      <c r="O22" s="181">
        <f t="shared" si="0"/>
        <v>115463.79999999999</v>
      </c>
      <c r="P22" s="181">
        <f t="shared" si="1"/>
        <v>56986.5</v>
      </c>
      <c r="Q22" s="181">
        <f t="shared" si="2"/>
        <v>65614.600000000006</v>
      </c>
      <c r="R22" s="181">
        <f t="shared" si="3"/>
        <v>71370.100000000006</v>
      </c>
      <c r="S22" s="181">
        <f t="shared" si="4"/>
        <v>309435.00000000006</v>
      </c>
    </row>
    <row r="23" spans="1:19" ht="15.75" thickBot="1">
      <c r="A23" s="178" t="s">
        <v>126</v>
      </c>
      <c r="B23" s="179" t="s">
        <v>148</v>
      </c>
      <c r="C23" s="180">
        <v>25610</v>
      </c>
      <c r="D23" s="180">
        <v>48370</v>
      </c>
      <c r="E23" s="180">
        <v>23740</v>
      </c>
      <c r="F23" s="180">
        <v>19870</v>
      </c>
      <c r="G23" s="180">
        <v>14990</v>
      </c>
      <c r="H23" s="180">
        <v>13870</v>
      </c>
      <c r="I23" s="180">
        <v>8990</v>
      </c>
      <c r="J23" s="180">
        <v>7870</v>
      </c>
      <c r="K23" s="180">
        <v>8990</v>
      </c>
      <c r="L23" s="180">
        <v>7870</v>
      </c>
      <c r="M23" s="180">
        <v>8990</v>
      </c>
      <c r="N23" s="180">
        <v>0</v>
      </c>
      <c r="O23" s="181">
        <f t="shared" si="0"/>
        <v>97720</v>
      </c>
      <c r="P23" s="181">
        <f t="shared" si="1"/>
        <v>48730</v>
      </c>
      <c r="Q23" s="181">
        <f t="shared" si="2"/>
        <v>25850</v>
      </c>
      <c r="R23" s="181">
        <f t="shared" si="3"/>
        <v>16860</v>
      </c>
      <c r="S23" s="181">
        <f t="shared" si="4"/>
        <v>189160</v>
      </c>
    </row>
    <row r="24" spans="1:19" ht="15.75" thickBot="1">
      <c r="A24" s="178" t="s">
        <v>126</v>
      </c>
      <c r="B24" s="179" t="s">
        <v>149</v>
      </c>
      <c r="C24" s="180">
        <v>6771.75</v>
      </c>
      <c r="D24" s="180">
        <v>6776.75</v>
      </c>
      <c r="E24" s="180">
        <v>6856.75</v>
      </c>
      <c r="F24" s="180">
        <v>3266.75</v>
      </c>
      <c r="G24" s="180">
        <v>2841.75</v>
      </c>
      <c r="H24" s="180">
        <v>2416.75</v>
      </c>
      <c r="I24" s="180">
        <v>3266.75</v>
      </c>
      <c r="J24" s="180">
        <v>2416.75</v>
      </c>
      <c r="K24" s="180">
        <v>3266.75</v>
      </c>
      <c r="L24" s="180">
        <v>2841.75</v>
      </c>
      <c r="M24" s="180">
        <v>2416.75</v>
      </c>
      <c r="N24" s="180">
        <v>3266.75</v>
      </c>
      <c r="O24" s="181">
        <f t="shared" si="0"/>
        <v>20405.25</v>
      </c>
      <c r="P24" s="181">
        <f t="shared" si="1"/>
        <v>8525.25</v>
      </c>
      <c r="Q24" s="181">
        <f t="shared" si="2"/>
        <v>8950.25</v>
      </c>
      <c r="R24" s="181">
        <f t="shared" si="3"/>
        <v>8525.25</v>
      </c>
      <c r="S24" s="181">
        <f t="shared" si="4"/>
        <v>46406</v>
      </c>
    </row>
    <row r="25" spans="1:19" ht="15.75" thickBot="1">
      <c r="A25" s="178" t="s">
        <v>126</v>
      </c>
      <c r="B25" s="179" t="s">
        <v>150</v>
      </c>
      <c r="C25" s="180">
        <v>0</v>
      </c>
      <c r="D25" s="180">
        <v>0</v>
      </c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1">
        <f t="shared" si="0"/>
        <v>0</v>
      </c>
      <c r="P25" s="181">
        <f t="shared" si="1"/>
        <v>0</v>
      </c>
      <c r="Q25" s="181">
        <f t="shared" si="2"/>
        <v>0</v>
      </c>
      <c r="R25" s="181">
        <f t="shared" si="3"/>
        <v>0</v>
      </c>
      <c r="S25" s="181">
        <f t="shared" si="4"/>
        <v>0</v>
      </c>
    </row>
    <row r="26" spans="1:19" ht="15.75" thickBot="1">
      <c r="A26" s="178" t="s">
        <v>126</v>
      </c>
      <c r="B26" s="179" t="s">
        <v>151</v>
      </c>
      <c r="C26" s="180">
        <v>3045</v>
      </c>
      <c r="D26" s="180">
        <v>1645</v>
      </c>
      <c r="E26" s="180">
        <v>2420</v>
      </c>
      <c r="F26" s="180"/>
      <c r="G26" s="180"/>
      <c r="H26" s="180"/>
      <c r="I26" s="180"/>
      <c r="J26" s="180"/>
      <c r="K26" s="180"/>
      <c r="L26" s="180"/>
      <c r="M26" s="180"/>
      <c r="N26" s="180"/>
      <c r="O26" s="181">
        <f t="shared" si="0"/>
        <v>7110</v>
      </c>
      <c r="P26" s="181">
        <f t="shared" si="1"/>
        <v>0</v>
      </c>
      <c r="Q26" s="181">
        <f t="shared" si="2"/>
        <v>0</v>
      </c>
      <c r="R26" s="181">
        <f t="shared" si="3"/>
        <v>0</v>
      </c>
      <c r="S26" s="181">
        <f t="shared" si="4"/>
        <v>7110</v>
      </c>
    </row>
    <row r="27" spans="1:19" ht="15.75" thickBot="1">
      <c r="A27" s="178" t="s">
        <v>126</v>
      </c>
      <c r="B27" s="179" t="s">
        <v>152</v>
      </c>
      <c r="C27" s="180">
        <v>81989.84</v>
      </c>
      <c r="D27" s="180">
        <v>95003.839999999997</v>
      </c>
      <c r="E27" s="180">
        <v>46827.839999999997</v>
      </c>
      <c r="F27" s="180">
        <v>22062.84</v>
      </c>
      <c r="G27" s="180">
        <v>16792.84</v>
      </c>
      <c r="H27" s="180">
        <v>21630.84</v>
      </c>
      <c r="I27" s="180">
        <v>9449.84</v>
      </c>
      <c r="J27" s="180">
        <v>11164.84</v>
      </c>
      <c r="K27" s="180">
        <v>10694.84</v>
      </c>
      <c r="L27" s="180">
        <v>9294.84</v>
      </c>
      <c r="M27" s="180">
        <v>9049.84</v>
      </c>
      <c r="N27" s="180">
        <v>5779.84</v>
      </c>
      <c r="O27" s="181">
        <f t="shared" si="0"/>
        <v>223821.52</v>
      </c>
      <c r="P27" s="181">
        <f t="shared" si="1"/>
        <v>60486.520000000004</v>
      </c>
      <c r="Q27" s="181">
        <f t="shared" si="2"/>
        <v>31309.52</v>
      </c>
      <c r="R27" s="181">
        <f t="shared" si="3"/>
        <v>24124.52</v>
      </c>
      <c r="S27" s="181">
        <f t="shared" si="4"/>
        <v>339742.08000000019</v>
      </c>
    </row>
    <row r="28" spans="1:19" ht="15.75" thickBot="1">
      <c r="A28" s="178" t="s">
        <v>126</v>
      </c>
      <c r="B28" s="179" t="s">
        <v>153</v>
      </c>
      <c r="C28" s="180">
        <v>6506.9</v>
      </c>
      <c r="D28" s="180">
        <v>6481.9</v>
      </c>
      <c r="E28" s="180">
        <v>10056.9</v>
      </c>
      <c r="F28" s="180">
        <v>1050</v>
      </c>
      <c r="G28" s="180">
        <v>1050</v>
      </c>
      <c r="H28" s="180">
        <v>2100</v>
      </c>
      <c r="I28" s="180">
        <v>1050</v>
      </c>
      <c r="J28" s="180">
        <v>1050</v>
      </c>
      <c r="K28" s="180">
        <v>1050</v>
      </c>
      <c r="L28" s="180">
        <v>1050</v>
      </c>
      <c r="M28" s="180">
        <v>1050</v>
      </c>
      <c r="N28" s="180">
        <v>1050</v>
      </c>
      <c r="O28" s="181">
        <f t="shared" si="0"/>
        <v>23045.699999999997</v>
      </c>
      <c r="P28" s="181">
        <f t="shared" si="1"/>
        <v>4200</v>
      </c>
      <c r="Q28" s="181">
        <f t="shared" si="2"/>
        <v>3150</v>
      </c>
      <c r="R28" s="181">
        <f t="shared" si="3"/>
        <v>3150</v>
      </c>
      <c r="S28" s="181">
        <f t="shared" si="4"/>
        <v>33545.699999999997</v>
      </c>
    </row>
    <row r="29" spans="1:19" ht="15.75" thickBot="1">
      <c r="A29" s="178" t="s">
        <v>126</v>
      </c>
      <c r="B29" s="179" t="s">
        <v>154</v>
      </c>
      <c r="C29" s="180">
        <v>36410.800000000003</v>
      </c>
      <c r="D29" s="180">
        <v>38990.79</v>
      </c>
      <c r="E29" s="180">
        <v>26615.79</v>
      </c>
      <c r="F29" s="180">
        <v>19590.79</v>
      </c>
      <c r="G29" s="180">
        <v>5595.79</v>
      </c>
      <c r="H29" s="180">
        <v>14590.79</v>
      </c>
      <c r="I29" s="180">
        <v>13760.79</v>
      </c>
      <c r="J29" s="180">
        <v>9590.7900000000009</v>
      </c>
      <c r="K29" s="180">
        <v>9590.7900000000009</v>
      </c>
      <c r="L29" s="180">
        <v>9590.7900000000009</v>
      </c>
      <c r="M29" s="180">
        <v>11715.79</v>
      </c>
      <c r="N29" s="180">
        <v>5595.79</v>
      </c>
      <c r="O29" s="181">
        <f t="shared" si="0"/>
        <v>102017.38</v>
      </c>
      <c r="P29" s="181">
        <f t="shared" si="1"/>
        <v>39777.370000000003</v>
      </c>
      <c r="Q29" s="181">
        <f t="shared" si="2"/>
        <v>32942.370000000003</v>
      </c>
      <c r="R29" s="181">
        <f t="shared" si="3"/>
        <v>26902.370000000003</v>
      </c>
      <c r="S29" s="181">
        <f t="shared" si="4"/>
        <v>201639.49000000005</v>
      </c>
    </row>
    <row r="30" spans="1:19" ht="15" customHeight="1" thickBot="1">
      <c r="A30" s="178" t="s">
        <v>126</v>
      </c>
      <c r="B30" s="179" t="s">
        <v>155</v>
      </c>
      <c r="C30" s="180">
        <v>50116.99</v>
      </c>
      <c r="D30" s="180">
        <v>46393.74</v>
      </c>
      <c r="E30" s="180">
        <v>46471.75</v>
      </c>
      <c r="F30" s="180">
        <v>28696.75</v>
      </c>
      <c r="G30" s="180">
        <v>23695</v>
      </c>
      <c r="H30" s="180">
        <v>13695</v>
      </c>
      <c r="I30" s="180">
        <v>13695</v>
      </c>
      <c r="J30" s="180">
        <v>13695</v>
      </c>
      <c r="K30" s="180">
        <v>13695</v>
      </c>
      <c r="L30" s="180">
        <v>13695</v>
      </c>
      <c r="M30" s="180">
        <v>13695</v>
      </c>
      <c r="N30" s="180">
        <v>13695</v>
      </c>
      <c r="O30" s="181">
        <f t="shared" si="0"/>
        <v>142982.47999999998</v>
      </c>
      <c r="P30" s="181">
        <f t="shared" si="1"/>
        <v>66086.75</v>
      </c>
      <c r="Q30" s="181">
        <f t="shared" si="2"/>
        <v>41085</v>
      </c>
      <c r="R30" s="181">
        <f t="shared" si="3"/>
        <v>41085</v>
      </c>
      <c r="S30" s="181">
        <f t="shared" si="4"/>
        <v>291239.23</v>
      </c>
    </row>
    <row r="31" spans="1:19" ht="15.75" thickBot="1">
      <c r="A31" s="178" t="s">
        <v>126</v>
      </c>
      <c r="B31" s="179" t="s">
        <v>156</v>
      </c>
      <c r="C31" s="180">
        <v>53442.8</v>
      </c>
      <c r="D31" s="180">
        <v>47617.81</v>
      </c>
      <c r="E31" s="180">
        <v>58232.81</v>
      </c>
      <c r="F31" s="180">
        <v>46340.3</v>
      </c>
      <c r="G31" s="180">
        <v>27527.8</v>
      </c>
      <c r="H31" s="180">
        <v>33682.800000000003</v>
      </c>
      <c r="I31" s="180">
        <v>43407.8</v>
      </c>
      <c r="J31" s="180">
        <v>33682.800000000003</v>
      </c>
      <c r="K31" s="180">
        <v>42050.3</v>
      </c>
      <c r="L31" s="180">
        <v>31817.8</v>
      </c>
      <c r="M31" s="180">
        <v>40982.800000000003</v>
      </c>
      <c r="N31" s="180">
        <v>28517.8</v>
      </c>
      <c r="O31" s="181">
        <f t="shared" si="0"/>
        <v>159293.41999999998</v>
      </c>
      <c r="P31" s="181">
        <f t="shared" si="1"/>
        <v>107550.90000000001</v>
      </c>
      <c r="Q31" s="181">
        <f t="shared" si="2"/>
        <v>119140.90000000001</v>
      </c>
      <c r="R31" s="181">
        <f t="shared" si="3"/>
        <v>101318.40000000001</v>
      </c>
      <c r="S31" s="181">
        <f t="shared" si="4"/>
        <v>487303.61999999988</v>
      </c>
    </row>
    <row r="32" spans="1:19" ht="15.75" thickBot="1">
      <c r="A32" s="178" t="s">
        <v>126</v>
      </c>
      <c r="B32" s="179" t="s">
        <v>157</v>
      </c>
      <c r="C32" s="180">
        <v>2375.6</v>
      </c>
      <c r="D32" s="180">
        <v>2375.6</v>
      </c>
      <c r="E32" s="180">
        <v>1775.6</v>
      </c>
      <c r="F32" s="180">
        <v>1400.6</v>
      </c>
      <c r="G32" s="180">
        <v>1400.6</v>
      </c>
      <c r="H32" s="180">
        <v>805.6</v>
      </c>
      <c r="I32" s="180">
        <v>1995.6</v>
      </c>
      <c r="J32" s="180">
        <v>1400.6</v>
      </c>
      <c r="K32" s="180">
        <v>805.6</v>
      </c>
      <c r="L32" s="180">
        <v>1995.6</v>
      </c>
      <c r="M32" s="180">
        <v>1400.6</v>
      </c>
      <c r="N32" s="180">
        <v>1400.6</v>
      </c>
      <c r="O32" s="181">
        <f t="shared" si="0"/>
        <v>6526.7999999999993</v>
      </c>
      <c r="P32" s="181">
        <f t="shared" si="1"/>
        <v>3606.7999999999997</v>
      </c>
      <c r="Q32" s="181">
        <f t="shared" si="2"/>
        <v>4201.8</v>
      </c>
      <c r="R32" s="181">
        <f t="shared" si="3"/>
        <v>4796.7999999999993</v>
      </c>
      <c r="S32" s="181">
        <f t="shared" si="4"/>
        <v>19132.2</v>
      </c>
    </row>
    <row r="33" spans="1:19" ht="15.75" thickBot="1">
      <c r="A33" s="178" t="s">
        <v>126</v>
      </c>
      <c r="B33" s="179" t="s">
        <v>158</v>
      </c>
      <c r="C33" s="180">
        <v>14360.28</v>
      </c>
      <c r="D33" s="180">
        <v>11722.92</v>
      </c>
      <c r="E33" s="180">
        <v>41220.28</v>
      </c>
      <c r="F33" s="180">
        <v>6033.36</v>
      </c>
      <c r="G33" s="180">
        <v>6790.76</v>
      </c>
      <c r="H33" s="180">
        <v>5213.32</v>
      </c>
      <c r="I33" s="180">
        <v>6030.76</v>
      </c>
      <c r="J33" s="180">
        <v>6733.32</v>
      </c>
      <c r="K33" s="180">
        <v>6030.76</v>
      </c>
      <c r="L33" s="180">
        <v>6733.32</v>
      </c>
      <c r="M33" s="180">
        <v>6030.76</v>
      </c>
      <c r="N33" s="180">
        <v>5273.36</v>
      </c>
      <c r="O33" s="181">
        <f t="shared" si="0"/>
        <v>67303.48</v>
      </c>
      <c r="P33" s="181">
        <f t="shared" si="1"/>
        <v>18037.439999999999</v>
      </c>
      <c r="Q33" s="181">
        <f t="shared" si="2"/>
        <v>18794.84</v>
      </c>
      <c r="R33" s="181">
        <f t="shared" si="3"/>
        <v>18037.439999999999</v>
      </c>
      <c r="S33" s="181">
        <f t="shared" si="4"/>
        <v>122173.19999999995</v>
      </c>
    </row>
    <row r="34" spans="1:19" ht="15.75" thickBot="1">
      <c r="A34" s="178" t="s">
        <v>126</v>
      </c>
      <c r="B34" s="179" t="s">
        <v>159</v>
      </c>
      <c r="C34" s="180">
        <v>400</v>
      </c>
      <c r="D34" s="180">
        <v>800</v>
      </c>
      <c r="E34" s="180">
        <v>800</v>
      </c>
      <c r="F34" s="180">
        <v>800</v>
      </c>
      <c r="G34" s="180">
        <v>400</v>
      </c>
      <c r="H34" s="180">
        <v>400</v>
      </c>
      <c r="I34" s="180">
        <v>400</v>
      </c>
      <c r="J34" s="180">
        <v>400</v>
      </c>
      <c r="K34" s="180">
        <v>400</v>
      </c>
      <c r="L34" s="180">
        <v>400</v>
      </c>
      <c r="M34" s="180">
        <v>800</v>
      </c>
      <c r="N34" s="180">
        <v>400</v>
      </c>
      <c r="O34" s="181">
        <f t="shared" si="0"/>
        <v>2000</v>
      </c>
      <c r="P34" s="181">
        <f t="shared" si="1"/>
        <v>1600</v>
      </c>
      <c r="Q34" s="181">
        <f t="shared" si="2"/>
        <v>1200</v>
      </c>
      <c r="R34" s="181">
        <f t="shared" si="3"/>
        <v>1600</v>
      </c>
      <c r="S34" s="181">
        <f t="shared" si="4"/>
        <v>6400</v>
      </c>
    </row>
    <row r="35" spans="1:19" ht="15.75" thickBot="1">
      <c r="A35" s="178" t="s">
        <v>126</v>
      </c>
      <c r="B35" s="179" t="s">
        <v>160</v>
      </c>
      <c r="C35" s="180">
        <v>26377.48</v>
      </c>
      <c r="D35" s="180">
        <v>21072.48</v>
      </c>
      <c r="E35" s="180">
        <v>24896.47</v>
      </c>
      <c r="F35" s="180">
        <v>11233.48</v>
      </c>
      <c r="G35" s="180">
        <v>29533.48</v>
      </c>
      <c r="H35" s="180">
        <v>9533.48</v>
      </c>
      <c r="I35" s="180">
        <v>12509.48</v>
      </c>
      <c r="J35" s="180">
        <v>11533.48</v>
      </c>
      <c r="K35" s="180">
        <v>10257.48</v>
      </c>
      <c r="L35" s="180">
        <v>11233.48</v>
      </c>
      <c r="M35" s="180">
        <v>10981.47</v>
      </c>
      <c r="N35" s="180">
        <v>14533.48</v>
      </c>
      <c r="O35" s="181">
        <f t="shared" si="0"/>
        <v>72346.429999999993</v>
      </c>
      <c r="P35" s="181">
        <f t="shared" si="1"/>
        <v>50300.44</v>
      </c>
      <c r="Q35" s="181">
        <f t="shared" si="2"/>
        <v>34300.44</v>
      </c>
      <c r="R35" s="181">
        <f t="shared" si="3"/>
        <v>36748.429999999993</v>
      </c>
      <c r="S35" s="181">
        <f t="shared" si="4"/>
        <v>193695.74000000002</v>
      </c>
    </row>
    <row r="36" spans="1:19" ht="15.75" thickBot="1">
      <c r="A36" s="178" t="s">
        <v>126</v>
      </c>
      <c r="B36" s="179" t="s">
        <v>161</v>
      </c>
      <c r="C36" s="180">
        <v>37666</v>
      </c>
      <c r="D36" s="180">
        <v>31311</v>
      </c>
      <c r="E36" s="180">
        <v>28600</v>
      </c>
      <c r="F36" s="180">
        <v>4500</v>
      </c>
      <c r="G36" s="180">
        <v>2250</v>
      </c>
      <c r="H36" s="180">
        <v>2250</v>
      </c>
      <c r="I36" s="180">
        <v>2250</v>
      </c>
      <c r="J36" s="180">
        <v>2250</v>
      </c>
      <c r="K36" s="180">
        <v>2250</v>
      </c>
      <c r="L36" s="180">
        <v>2250</v>
      </c>
      <c r="M36" s="180">
        <v>2250</v>
      </c>
      <c r="N36" s="180">
        <v>2250</v>
      </c>
      <c r="O36" s="181">
        <f t="shared" si="0"/>
        <v>97577</v>
      </c>
      <c r="P36" s="181">
        <f t="shared" si="1"/>
        <v>9000</v>
      </c>
      <c r="Q36" s="181">
        <f t="shared" si="2"/>
        <v>6750</v>
      </c>
      <c r="R36" s="181">
        <f t="shared" si="3"/>
        <v>6750</v>
      </c>
      <c r="S36" s="181">
        <f t="shared" si="4"/>
        <v>120077</v>
      </c>
    </row>
    <row r="37" spans="1:19" ht="15.75" thickBot="1">
      <c r="A37" s="178" t="s">
        <v>126</v>
      </c>
      <c r="B37" s="179" t="s">
        <v>162</v>
      </c>
      <c r="C37" s="180">
        <v>10791</v>
      </c>
      <c r="D37" s="180">
        <v>15706.99</v>
      </c>
      <c r="E37" s="180">
        <v>4788</v>
      </c>
      <c r="F37" s="180">
        <v>2422</v>
      </c>
      <c r="G37" s="180">
        <v>2422</v>
      </c>
      <c r="H37" s="180">
        <v>2422</v>
      </c>
      <c r="I37" s="180">
        <v>2422</v>
      </c>
      <c r="J37" s="180">
        <v>2422</v>
      </c>
      <c r="K37" s="180">
        <v>2422</v>
      </c>
      <c r="L37" s="180">
        <v>2422</v>
      </c>
      <c r="M37" s="180">
        <v>2422</v>
      </c>
      <c r="N37" s="180">
        <v>2422</v>
      </c>
      <c r="O37" s="181">
        <f t="shared" si="0"/>
        <v>31285.989999999998</v>
      </c>
      <c r="P37" s="181">
        <f t="shared" si="1"/>
        <v>7266</v>
      </c>
      <c r="Q37" s="181">
        <f t="shared" si="2"/>
        <v>7266</v>
      </c>
      <c r="R37" s="181">
        <f t="shared" si="3"/>
        <v>7266</v>
      </c>
      <c r="S37" s="181">
        <f t="shared" si="4"/>
        <v>53083.99</v>
      </c>
    </row>
    <row r="38" spans="1:19" ht="15.75" thickBot="1">
      <c r="A38" s="178" t="s">
        <v>126</v>
      </c>
      <c r="B38" s="179" t="s">
        <v>163</v>
      </c>
      <c r="C38" s="180">
        <v>233.8</v>
      </c>
      <c r="D38" s="180">
        <v>1058.76</v>
      </c>
      <c r="E38" s="180">
        <v>1058.76</v>
      </c>
      <c r="F38" s="180">
        <v>1058.76</v>
      </c>
      <c r="G38" s="180">
        <v>233.8</v>
      </c>
      <c r="H38" s="180">
        <v>233.8</v>
      </c>
      <c r="I38" s="180">
        <v>233.8</v>
      </c>
      <c r="J38" s="180">
        <v>233.8</v>
      </c>
      <c r="K38" s="180">
        <v>233.8</v>
      </c>
      <c r="L38" s="180">
        <v>233.8</v>
      </c>
      <c r="M38" s="180">
        <v>233.8</v>
      </c>
      <c r="N38" s="180">
        <v>233.8</v>
      </c>
      <c r="O38" s="181">
        <f t="shared" si="0"/>
        <v>2351.3199999999997</v>
      </c>
      <c r="P38" s="181">
        <f t="shared" si="1"/>
        <v>1526.36</v>
      </c>
      <c r="Q38" s="181">
        <f t="shared" si="2"/>
        <v>701.40000000000009</v>
      </c>
      <c r="R38" s="181">
        <f t="shared" si="3"/>
        <v>701.40000000000009</v>
      </c>
      <c r="S38" s="181">
        <f t="shared" si="4"/>
        <v>5280.4800000000014</v>
      </c>
    </row>
    <row r="39" spans="1:19" ht="15.75" thickBot="1">
      <c r="A39" s="178" t="s">
        <v>126</v>
      </c>
      <c r="B39" s="179" t="s">
        <v>164</v>
      </c>
      <c r="C39" s="180">
        <v>177262.95</v>
      </c>
      <c r="D39" s="180">
        <v>135119.26999999999</v>
      </c>
      <c r="E39" s="180">
        <v>121648.75</v>
      </c>
      <c r="F39" s="180">
        <v>83284.94</v>
      </c>
      <c r="G39" s="180">
        <v>71955.98</v>
      </c>
      <c r="H39" s="180">
        <v>66722.41</v>
      </c>
      <c r="I39" s="180">
        <v>70809.55</v>
      </c>
      <c r="J39" s="180">
        <v>63351.7</v>
      </c>
      <c r="K39" s="180">
        <v>69697.41</v>
      </c>
      <c r="L39" s="180">
        <v>67463.839999999997</v>
      </c>
      <c r="M39" s="180">
        <v>68867.69</v>
      </c>
      <c r="N39" s="180">
        <v>68151.27</v>
      </c>
      <c r="O39" s="181">
        <f t="shared" si="0"/>
        <v>434030.97</v>
      </c>
      <c r="P39" s="181">
        <f t="shared" si="1"/>
        <v>221963.33</v>
      </c>
      <c r="Q39" s="181">
        <f t="shared" si="2"/>
        <v>203858.66</v>
      </c>
      <c r="R39" s="181">
        <f t="shared" si="3"/>
        <v>204482.8</v>
      </c>
      <c r="S39" s="181">
        <f t="shared" si="4"/>
        <v>1064335.76</v>
      </c>
    </row>
    <row r="40" spans="1:19" ht="15.75" thickBot="1">
      <c r="A40" s="178" t="s">
        <v>126</v>
      </c>
      <c r="B40" s="179" t="s">
        <v>165</v>
      </c>
      <c r="C40" s="180">
        <v>0</v>
      </c>
      <c r="D40" s="180">
        <v>1360</v>
      </c>
      <c r="E40" s="180">
        <v>1360</v>
      </c>
      <c r="F40" s="180">
        <v>1360</v>
      </c>
      <c r="G40" s="180">
        <v>1360</v>
      </c>
      <c r="H40" s="180">
        <v>1360</v>
      </c>
      <c r="I40" s="180">
        <v>1360</v>
      </c>
      <c r="J40" s="180">
        <v>2720</v>
      </c>
      <c r="K40" s="180"/>
      <c r="L40" s="180">
        <v>1360</v>
      </c>
      <c r="M40" s="180">
        <v>1360</v>
      </c>
      <c r="N40" s="180">
        <v>1360</v>
      </c>
      <c r="O40" s="181">
        <f t="shared" si="0"/>
        <v>2720</v>
      </c>
      <c r="P40" s="181">
        <f t="shared" si="1"/>
        <v>4080</v>
      </c>
      <c r="Q40" s="181">
        <f t="shared" si="2"/>
        <v>4080</v>
      </c>
      <c r="R40" s="181">
        <f t="shared" si="3"/>
        <v>4080</v>
      </c>
      <c r="S40" s="181">
        <f t="shared" si="4"/>
        <v>14960</v>
      </c>
    </row>
    <row r="41" spans="1:19" ht="15.75" thickBot="1">
      <c r="A41" s="178" t="s">
        <v>126</v>
      </c>
      <c r="B41" s="179" t="s">
        <v>166</v>
      </c>
      <c r="C41" s="180">
        <v>24063.1</v>
      </c>
      <c r="D41" s="180">
        <v>20513.099999999999</v>
      </c>
      <c r="E41" s="180">
        <v>24063.1</v>
      </c>
      <c r="F41" s="180">
        <v>5248.3</v>
      </c>
      <c r="G41" s="180">
        <v>5248.3</v>
      </c>
      <c r="H41" s="180">
        <v>5248.3</v>
      </c>
      <c r="I41" s="180">
        <v>3548.3</v>
      </c>
      <c r="J41" s="180">
        <v>3670.79</v>
      </c>
      <c r="K41" s="180">
        <v>3425.82</v>
      </c>
      <c r="L41" s="180">
        <v>3548.3</v>
      </c>
      <c r="M41" s="180">
        <v>3670.79</v>
      </c>
      <c r="N41" s="180">
        <v>3425.82</v>
      </c>
      <c r="O41" s="181">
        <f t="shared" si="0"/>
        <v>68639.299999999988</v>
      </c>
      <c r="P41" s="181">
        <f t="shared" si="1"/>
        <v>15744.900000000001</v>
      </c>
      <c r="Q41" s="181">
        <f t="shared" si="2"/>
        <v>10644.91</v>
      </c>
      <c r="R41" s="181">
        <f t="shared" si="3"/>
        <v>10644.91</v>
      </c>
      <c r="S41" s="181">
        <f t="shared" si="4"/>
        <v>105674.02</v>
      </c>
    </row>
    <row r="42" spans="1:19" ht="15.75" thickBot="1">
      <c r="A42" s="178" t="s">
        <v>126</v>
      </c>
      <c r="B42" s="179" t="s">
        <v>167</v>
      </c>
      <c r="C42" s="180">
        <v>12837</v>
      </c>
      <c r="D42" s="180">
        <v>7933.5</v>
      </c>
      <c r="E42" s="180">
        <v>8590</v>
      </c>
      <c r="F42" s="180">
        <v>2080</v>
      </c>
      <c r="G42" s="180">
        <v>2080</v>
      </c>
      <c r="H42" s="180">
        <v>2080</v>
      </c>
      <c r="I42" s="180">
        <v>2080</v>
      </c>
      <c r="J42" s="180">
        <v>2080</v>
      </c>
      <c r="K42" s="180">
        <v>2080</v>
      </c>
      <c r="L42" s="180">
        <v>2080</v>
      </c>
      <c r="M42" s="180">
        <v>2080</v>
      </c>
      <c r="N42" s="180">
        <v>2080</v>
      </c>
      <c r="O42" s="181">
        <f t="shared" si="0"/>
        <v>29360.5</v>
      </c>
      <c r="P42" s="181">
        <f t="shared" si="1"/>
        <v>6240</v>
      </c>
      <c r="Q42" s="181">
        <f t="shared" si="2"/>
        <v>6240</v>
      </c>
      <c r="R42" s="181">
        <f t="shared" si="3"/>
        <v>6240</v>
      </c>
      <c r="S42" s="181">
        <f t="shared" si="4"/>
        <v>48080.5</v>
      </c>
    </row>
    <row r="43" spans="1:19" ht="15.75" thickBot="1">
      <c r="A43" s="178" t="s">
        <v>126</v>
      </c>
      <c r="B43" s="179" t="s">
        <v>168</v>
      </c>
      <c r="C43" s="180">
        <v>20414.5</v>
      </c>
      <c r="D43" s="180">
        <v>23196.5</v>
      </c>
      <c r="E43" s="180">
        <v>21908.5</v>
      </c>
      <c r="F43" s="180">
        <v>14540.5</v>
      </c>
      <c r="G43" s="180">
        <v>11660.5</v>
      </c>
      <c r="H43" s="180">
        <v>10620.5</v>
      </c>
      <c r="I43" s="180">
        <v>12460.5</v>
      </c>
      <c r="J43" s="180">
        <v>12700.5</v>
      </c>
      <c r="K43" s="180">
        <v>11420.5</v>
      </c>
      <c r="L43" s="180">
        <v>12700.5</v>
      </c>
      <c r="M43" s="180">
        <v>12460.5</v>
      </c>
      <c r="N43" s="180">
        <v>9402.5</v>
      </c>
      <c r="O43" s="181">
        <f>SUM(C43:E43)</f>
        <v>65519.5</v>
      </c>
      <c r="P43" s="181">
        <f>SUM(F43:H43)</f>
        <v>36821.5</v>
      </c>
      <c r="Q43" s="181">
        <f>SUM(I43:K43)</f>
        <v>36581.5</v>
      </c>
      <c r="R43" s="181">
        <f>SUM(L43:N43)</f>
        <v>34563.5</v>
      </c>
      <c r="S43" s="181">
        <f>SUM(C43:N43)</f>
        <v>173486</v>
      </c>
    </row>
    <row r="44" spans="1:19" ht="15.75" thickBot="1">
      <c r="A44" s="178" t="s">
        <v>126</v>
      </c>
      <c r="B44" s="179" t="s">
        <v>169</v>
      </c>
      <c r="C44" s="180">
        <v>850</v>
      </c>
      <c r="D44" s="180">
        <v>0</v>
      </c>
      <c r="E44" s="180">
        <v>0</v>
      </c>
      <c r="F44" s="180"/>
      <c r="G44" s="180"/>
      <c r="H44" s="180"/>
      <c r="I44" s="180"/>
      <c r="J44" s="180"/>
      <c r="K44" s="180"/>
      <c r="L44" s="180"/>
      <c r="M44" s="180"/>
      <c r="N44" s="180"/>
      <c r="O44" s="181">
        <f t="shared" ref="O44:O45" si="5">SUM(C44:E44)</f>
        <v>850</v>
      </c>
      <c r="P44" s="181">
        <f t="shared" ref="P44:P45" si="6">SUM(F44:H44)</f>
        <v>0</v>
      </c>
      <c r="Q44" s="181">
        <f t="shared" ref="Q44:Q45" si="7">SUM(I44:K44)</f>
        <v>0</v>
      </c>
      <c r="R44" s="181">
        <f t="shared" ref="R44:R45" si="8">SUM(L44:N44)</f>
        <v>0</v>
      </c>
      <c r="S44" s="181">
        <f t="shared" ref="S44:S45" si="9">SUM(C44:N44)</f>
        <v>850</v>
      </c>
    </row>
    <row r="45" spans="1:19" ht="15.75" thickBot="1">
      <c r="A45" s="178" t="s">
        <v>126</v>
      </c>
      <c r="B45" s="179" t="s">
        <v>170</v>
      </c>
      <c r="C45" s="180">
        <v>22172.04</v>
      </c>
      <c r="D45" s="180">
        <v>27173.43</v>
      </c>
      <c r="E45" s="180">
        <v>23631.53</v>
      </c>
      <c r="F45" s="180">
        <v>3400</v>
      </c>
      <c r="G45" s="180"/>
      <c r="H45" s="180"/>
      <c r="I45" s="180"/>
      <c r="J45" s="180"/>
      <c r="K45" s="180"/>
      <c r="L45" s="180"/>
      <c r="M45" s="180"/>
      <c r="N45" s="180"/>
      <c r="O45" s="181">
        <f t="shared" si="5"/>
        <v>72977</v>
      </c>
      <c r="P45" s="181">
        <f t="shared" si="6"/>
        <v>3400</v>
      </c>
      <c r="Q45" s="181">
        <f t="shared" si="7"/>
        <v>0</v>
      </c>
      <c r="R45" s="181">
        <f t="shared" si="8"/>
        <v>0</v>
      </c>
      <c r="S45" s="181">
        <f t="shared" si="9"/>
        <v>76377</v>
      </c>
    </row>
    <row r="46" spans="1:19" ht="15.75" thickBot="1">
      <c r="A46" s="178" t="s">
        <v>126</v>
      </c>
      <c r="B46" s="179" t="s">
        <v>171</v>
      </c>
      <c r="C46" s="180">
        <v>10569.1</v>
      </c>
      <c r="D46" s="180">
        <v>11779.41</v>
      </c>
      <c r="E46" s="180">
        <v>11059.1</v>
      </c>
      <c r="F46" s="180">
        <v>1989.1</v>
      </c>
      <c r="G46" s="180">
        <v>1989.1</v>
      </c>
      <c r="H46" s="180">
        <v>1989.1</v>
      </c>
      <c r="I46" s="180">
        <v>1989.1</v>
      </c>
      <c r="J46" s="180">
        <v>1989.1</v>
      </c>
      <c r="K46" s="180">
        <v>1989.1</v>
      </c>
      <c r="L46" s="180">
        <v>1989.1</v>
      </c>
      <c r="M46" s="180">
        <v>1989.1</v>
      </c>
      <c r="N46" s="180">
        <v>1989.1</v>
      </c>
      <c r="O46" s="181">
        <f t="shared" si="0"/>
        <v>33407.61</v>
      </c>
      <c r="P46" s="181">
        <f t="shared" si="1"/>
        <v>5967.2999999999993</v>
      </c>
      <c r="Q46" s="181">
        <f t="shared" si="2"/>
        <v>5967.2999999999993</v>
      </c>
      <c r="R46" s="181">
        <f t="shared" si="3"/>
        <v>5967.2999999999993</v>
      </c>
      <c r="S46" s="181">
        <f t="shared" si="4"/>
        <v>51309.509999999987</v>
      </c>
    </row>
    <row r="47" spans="1:19" ht="15.75" thickBot="1">
      <c r="A47" s="178" t="s">
        <v>126</v>
      </c>
      <c r="B47" s="179" t="s">
        <v>172</v>
      </c>
      <c r="C47" s="180">
        <v>33544</v>
      </c>
      <c r="D47" s="180">
        <v>18787</v>
      </c>
      <c r="E47" s="180">
        <v>22037</v>
      </c>
      <c r="F47" s="180">
        <v>5537</v>
      </c>
      <c r="G47" s="180">
        <v>5537</v>
      </c>
      <c r="H47" s="180">
        <v>5537</v>
      </c>
      <c r="I47" s="180">
        <v>5537</v>
      </c>
      <c r="J47" s="180">
        <v>5537</v>
      </c>
      <c r="K47" s="180">
        <v>5537</v>
      </c>
      <c r="L47" s="180">
        <v>5537</v>
      </c>
      <c r="M47" s="180">
        <v>5537</v>
      </c>
      <c r="N47" s="180">
        <v>5537</v>
      </c>
      <c r="O47" s="181">
        <f t="shared" si="0"/>
        <v>74368</v>
      </c>
      <c r="P47" s="181">
        <f t="shared" si="1"/>
        <v>16611</v>
      </c>
      <c r="Q47" s="181">
        <f t="shared" si="2"/>
        <v>16611</v>
      </c>
      <c r="R47" s="181">
        <f t="shared" si="3"/>
        <v>16611</v>
      </c>
      <c r="S47" s="181">
        <f t="shared" si="4"/>
        <v>124201</v>
      </c>
    </row>
    <row r="48" spans="1:19" ht="15.75" thickBot="1">
      <c r="A48" s="178" t="s">
        <v>126</v>
      </c>
      <c r="B48" s="179" t="s">
        <v>173</v>
      </c>
      <c r="C48" s="180">
        <v>11868.59</v>
      </c>
      <c r="D48" s="180">
        <v>9218.59</v>
      </c>
      <c r="E48" s="180">
        <v>8873.59</v>
      </c>
      <c r="F48" s="180">
        <v>5198.59</v>
      </c>
      <c r="G48" s="180">
        <v>5198.59</v>
      </c>
      <c r="H48" s="180">
        <v>5198.59</v>
      </c>
      <c r="I48" s="180">
        <v>5198.59</v>
      </c>
      <c r="J48" s="180">
        <v>5198.59</v>
      </c>
      <c r="K48" s="180">
        <v>5198.59</v>
      </c>
      <c r="L48" s="180">
        <v>5198.59</v>
      </c>
      <c r="M48" s="180">
        <v>5198.59</v>
      </c>
      <c r="N48" s="180">
        <v>4198.59</v>
      </c>
      <c r="O48" s="181">
        <f t="shared" si="0"/>
        <v>29960.77</v>
      </c>
      <c r="P48" s="181">
        <f t="shared" si="1"/>
        <v>15595.77</v>
      </c>
      <c r="Q48" s="181">
        <f t="shared" si="2"/>
        <v>15595.77</v>
      </c>
      <c r="R48" s="181">
        <f t="shared" si="3"/>
        <v>14595.77</v>
      </c>
      <c r="S48" s="181">
        <f t="shared" si="4"/>
        <v>75748.079999999973</v>
      </c>
    </row>
    <row r="49" spans="1:19" ht="15.75" thickBot="1">
      <c r="A49" s="178" t="s">
        <v>126</v>
      </c>
      <c r="B49" s="179" t="s">
        <v>174</v>
      </c>
      <c r="C49" s="180">
        <v>29114</v>
      </c>
      <c r="D49" s="180">
        <v>22959</v>
      </c>
      <c r="E49" s="180">
        <v>24339</v>
      </c>
      <c r="F49" s="180">
        <v>11689</v>
      </c>
      <c r="G49" s="180">
        <v>14384</v>
      </c>
      <c r="H49" s="180">
        <v>11689</v>
      </c>
      <c r="I49" s="180">
        <v>14384</v>
      </c>
      <c r="J49" s="180">
        <v>11689</v>
      </c>
      <c r="K49" s="180">
        <v>14384</v>
      </c>
      <c r="L49" s="180">
        <v>13389</v>
      </c>
      <c r="M49" s="180">
        <v>16084</v>
      </c>
      <c r="N49" s="180">
        <v>13389</v>
      </c>
      <c r="O49" s="181">
        <f>SUM(C49:E49)</f>
        <v>76412</v>
      </c>
      <c r="P49" s="181">
        <f>SUM(F49:H49)</f>
        <v>37762</v>
      </c>
      <c r="Q49" s="181">
        <f>SUM(I49:K49)</f>
        <v>40457</v>
      </c>
      <c r="R49" s="181">
        <f>SUM(L49:N49)</f>
        <v>42862</v>
      </c>
      <c r="S49" s="181">
        <f>SUM(C49:N49)</f>
        <v>197493</v>
      </c>
    </row>
    <row r="50" spans="1:19" ht="15.75" thickBot="1">
      <c r="A50" s="178" t="s">
        <v>126</v>
      </c>
      <c r="B50" s="179" t="s">
        <v>175</v>
      </c>
      <c r="C50" s="180">
        <v>17970</v>
      </c>
      <c r="D50" s="180">
        <v>18060</v>
      </c>
      <c r="E50" s="180">
        <v>13820</v>
      </c>
      <c r="F50" s="180">
        <v>3370</v>
      </c>
      <c r="G50" s="180">
        <v>4870</v>
      </c>
      <c r="H50" s="180">
        <v>6370</v>
      </c>
      <c r="I50" s="180">
        <v>3370</v>
      </c>
      <c r="J50" s="180">
        <v>6370</v>
      </c>
      <c r="K50" s="180">
        <v>4870</v>
      </c>
      <c r="L50" s="180">
        <v>3370</v>
      </c>
      <c r="M50" s="180">
        <v>6370</v>
      </c>
      <c r="N50" s="180">
        <v>3370</v>
      </c>
      <c r="O50" s="181">
        <f t="shared" si="0"/>
        <v>49850</v>
      </c>
      <c r="P50" s="181">
        <f t="shared" si="1"/>
        <v>14610</v>
      </c>
      <c r="Q50" s="181">
        <f t="shared" si="2"/>
        <v>14610</v>
      </c>
      <c r="R50" s="181">
        <f t="shared" si="3"/>
        <v>13110</v>
      </c>
      <c r="S50" s="181">
        <f t="shared" si="4"/>
        <v>92180</v>
      </c>
    </row>
    <row r="51" spans="1:19" ht="15.75" thickBot="1">
      <c r="A51" s="178" t="s">
        <v>73</v>
      </c>
      <c r="B51" s="179" t="s">
        <v>176</v>
      </c>
      <c r="C51" s="182">
        <v>0</v>
      </c>
      <c r="D51" s="182">
        <v>0</v>
      </c>
      <c r="E51" s="180">
        <v>0</v>
      </c>
      <c r="F51" s="180"/>
      <c r="G51" s="180"/>
      <c r="H51" s="180"/>
      <c r="I51" s="180"/>
      <c r="J51" s="180"/>
      <c r="K51" s="180"/>
      <c r="L51" s="180"/>
      <c r="M51" s="180"/>
      <c r="N51" s="180"/>
      <c r="O51" s="181">
        <f t="shared" si="0"/>
        <v>0</v>
      </c>
      <c r="P51" s="181">
        <f t="shared" si="1"/>
        <v>0</v>
      </c>
      <c r="Q51" s="181">
        <f t="shared" si="2"/>
        <v>0</v>
      </c>
      <c r="R51" s="181">
        <f t="shared" si="3"/>
        <v>0</v>
      </c>
      <c r="S51" s="181">
        <f t="shared" si="4"/>
        <v>0</v>
      </c>
    </row>
    <row r="52" spans="1:19" ht="15.75" thickBot="1">
      <c r="A52" s="178" t="s">
        <v>73</v>
      </c>
      <c r="B52" s="179" t="s">
        <v>177</v>
      </c>
      <c r="C52" s="182">
        <v>0</v>
      </c>
      <c r="D52" s="182">
        <v>0</v>
      </c>
      <c r="E52" s="180">
        <v>1750</v>
      </c>
      <c r="F52" s="180">
        <v>0</v>
      </c>
      <c r="G52" s="180">
        <v>0</v>
      </c>
      <c r="H52" s="180">
        <v>0</v>
      </c>
      <c r="I52" s="180">
        <v>0</v>
      </c>
      <c r="J52" s="180">
        <v>0</v>
      </c>
      <c r="K52" s="180">
        <v>0</v>
      </c>
      <c r="L52" s="180">
        <v>0</v>
      </c>
      <c r="M52" s="180">
        <v>0</v>
      </c>
      <c r="N52" s="180">
        <v>0</v>
      </c>
      <c r="O52" s="181">
        <f t="shared" si="0"/>
        <v>1750</v>
      </c>
      <c r="P52" s="181">
        <f t="shared" si="1"/>
        <v>0</v>
      </c>
      <c r="Q52" s="181">
        <f t="shared" si="2"/>
        <v>0</v>
      </c>
      <c r="R52" s="181">
        <f t="shared" si="3"/>
        <v>0</v>
      </c>
      <c r="S52" s="181">
        <f t="shared" si="4"/>
        <v>1750</v>
      </c>
    </row>
    <row r="53" spans="1:19" ht="15.75" thickBot="1">
      <c r="A53" s="178" t="s">
        <v>73</v>
      </c>
      <c r="B53" s="179" t="s">
        <v>178</v>
      </c>
      <c r="C53" s="182">
        <v>3689.99</v>
      </c>
      <c r="D53" s="182">
        <v>3150</v>
      </c>
      <c r="E53" s="180">
        <v>4229.99</v>
      </c>
      <c r="F53" s="180">
        <v>3150</v>
      </c>
      <c r="G53" s="180">
        <v>3150</v>
      </c>
      <c r="H53" s="180">
        <v>3150</v>
      </c>
      <c r="I53" s="180">
        <v>3150</v>
      </c>
      <c r="J53" s="180">
        <v>3150</v>
      </c>
      <c r="K53" s="180">
        <v>3150</v>
      </c>
      <c r="L53" s="180">
        <v>3150</v>
      </c>
      <c r="M53" s="180">
        <v>3150</v>
      </c>
      <c r="N53" s="180">
        <v>3150</v>
      </c>
      <c r="O53" s="181">
        <f t="shared" si="0"/>
        <v>11069.98</v>
      </c>
      <c r="P53" s="181">
        <f t="shared" si="1"/>
        <v>9450</v>
      </c>
      <c r="Q53" s="181">
        <f t="shared" si="2"/>
        <v>9450</v>
      </c>
      <c r="R53" s="181">
        <f t="shared" si="3"/>
        <v>9450</v>
      </c>
      <c r="S53" s="181">
        <f t="shared" si="4"/>
        <v>39419.979999999996</v>
      </c>
    </row>
    <row r="54" spans="1:19" ht="15.75" thickBot="1">
      <c r="A54" s="178" t="s">
        <v>73</v>
      </c>
      <c r="B54" s="179" t="s">
        <v>179</v>
      </c>
      <c r="C54" s="180">
        <v>3360</v>
      </c>
      <c r="D54" s="180">
        <v>0</v>
      </c>
      <c r="E54" s="180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/>
      <c r="L54" s="180"/>
      <c r="M54" s="180"/>
      <c r="N54" s="180"/>
      <c r="O54" s="181">
        <f>SUM(C54:E54)</f>
        <v>3360</v>
      </c>
      <c r="P54" s="181">
        <f>SUM(F54:H54)</f>
        <v>0</v>
      </c>
      <c r="Q54" s="181">
        <f>SUM(I54:K54)</f>
        <v>0</v>
      </c>
      <c r="R54" s="181">
        <f>SUM(L54:N54)</f>
        <v>0</v>
      </c>
      <c r="S54" s="181">
        <f>SUM(C54:N54)</f>
        <v>3360</v>
      </c>
    </row>
    <row r="55" spans="1:19" ht="15.75" thickBot="1">
      <c r="A55" s="178" t="s">
        <v>73</v>
      </c>
      <c r="B55" s="179" t="s">
        <v>352</v>
      </c>
      <c r="C55" s="180">
        <v>0</v>
      </c>
      <c r="D55" s="180">
        <v>0</v>
      </c>
      <c r="E55" s="180">
        <v>181.83</v>
      </c>
      <c r="F55" s="180">
        <v>2727.28</v>
      </c>
      <c r="G55" s="180">
        <v>90.9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1">
        <f>SUM(C55:E55)</f>
        <v>181.83</v>
      </c>
      <c r="P55" s="181">
        <f>SUM(F55:H55)</f>
        <v>2818.1800000000003</v>
      </c>
      <c r="Q55" s="181">
        <f>SUM(I55:K55)</f>
        <v>0</v>
      </c>
      <c r="R55" s="181">
        <f>SUM(L55:N55)</f>
        <v>0</v>
      </c>
      <c r="S55" s="181">
        <f>SUM(C55:N55)</f>
        <v>3000.01</v>
      </c>
    </row>
    <row r="56" spans="1:19" ht="15.75" thickBot="1">
      <c r="A56" s="178" t="s">
        <v>73</v>
      </c>
      <c r="B56" s="179" t="s">
        <v>180</v>
      </c>
      <c r="C56" s="180">
        <v>2232.38</v>
      </c>
      <c r="D56" s="180">
        <v>1808.72</v>
      </c>
      <c r="E56" s="180">
        <v>1148.72</v>
      </c>
      <c r="F56" s="180">
        <v>1090</v>
      </c>
      <c r="G56" s="180">
        <v>570</v>
      </c>
      <c r="H56" s="180">
        <v>1660</v>
      </c>
      <c r="I56" s="180"/>
      <c r="J56" s="180"/>
      <c r="K56" s="180"/>
      <c r="L56" s="180"/>
      <c r="M56" s="180"/>
      <c r="N56" s="180"/>
      <c r="O56" s="181">
        <f t="shared" si="0"/>
        <v>5189.8200000000006</v>
      </c>
      <c r="P56" s="181">
        <f t="shared" si="1"/>
        <v>3320</v>
      </c>
      <c r="Q56" s="181">
        <f t="shared" si="2"/>
        <v>0</v>
      </c>
      <c r="R56" s="181">
        <f t="shared" si="3"/>
        <v>0</v>
      </c>
      <c r="S56" s="181">
        <f t="shared" si="4"/>
        <v>8509.82</v>
      </c>
    </row>
    <row r="57" spans="1:19" ht="15.75" thickBot="1">
      <c r="A57" s="178" t="s">
        <v>73</v>
      </c>
      <c r="B57" s="179" t="s">
        <v>181</v>
      </c>
      <c r="C57" s="180">
        <v>1544</v>
      </c>
      <c r="D57" s="180">
        <v>1660</v>
      </c>
      <c r="E57" s="180">
        <v>1300</v>
      </c>
      <c r="F57" s="180">
        <v>1090</v>
      </c>
      <c r="G57" s="180">
        <v>570</v>
      </c>
      <c r="H57" s="180">
        <v>1660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1">
        <f t="shared" si="0"/>
        <v>4504</v>
      </c>
      <c r="P57" s="181">
        <f t="shared" si="1"/>
        <v>3320</v>
      </c>
      <c r="Q57" s="181">
        <f t="shared" si="2"/>
        <v>0</v>
      </c>
      <c r="R57" s="181">
        <f t="shared" si="3"/>
        <v>0</v>
      </c>
      <c r="S57" s="181">
        <f t="shared" si="4"/>
        <v>7824</v>
      </c>
    </row>
    <row r="58" spans="1:19" ht="15.75" thickBot="1">
      <c r="A58" s="178" t="s">
        <v>73</v>
      </c>
      <c r="B58" s="179" t="s">
        <v>182</v>
      </c>
      <c r="C58" s="180">
        <v>146553.25</v>
      </c>
      <c r="D58" s="180">
        <v>129664.96000000001</v>
      </c>
      <c r="E58" s="180">
        <v>134558.96</v>
      </c>
      <c r="F58" s="180">
        <v>19527.95</v>
      </c>
      <c r="G58" s="180">
        <v>20328.580000000002</v>
      </c>
      <c r="H58" s="180">
        <v>19527.95</v>
      </c>
      <c r="I58" s="180">
        <v>20328.580000000002</v>
      </c>
      <c r="J58" s="180">
        <v>19527.95</v>
      </c>
      <c r="K58" s="180">
        <v>19527.95</v>
      </c>
      <c r="L58" s="180">
        <v>20328.580000000002</v>
      </c>
      <c r="M58" s="180">
        <v>19527.95</v>
      </c>
      <c r="N58" s="180">
        <v>19527.95</v>
      </c>
      <c r="O58" s="181">
        <f t="shared" si="0"/>
        <v>410777.17000000004</v>
      </c>
      <c r="P58" s="181">
        <f t="shared" si="1"/>
        <v>59384.479999999996</v>
      </c>
      <c r="Q58" s="181">
        <f t="shared" si="2"/>
        <v>59384.479999999996</v>
      </c>
      <c r="R58" s="181">
        <f t="shared" si="3"/>
        <v>59384.479999999996</v>
      </c>
      <c r="S58" s="181">
        <f t="shared" si="4"/>
        <v>588930.61</v>
      </c>
    </row>
    <row r="59" spans="1:19" ht="15.75" thickBot="1">
      <c r="A59" s="178" t="s">
        <v>73</v>
      </c>
      <c r="B59" s="179" t="s">
        <v>183</v>
      </c>
      <c r="C59" s="180">
        <v>1176</v>
      </c>
      <c r="D59" s="180">
        <v>2000</v>
      </c>
      <c r="E59" s="180"/>
      <c r="F59" s="180">
        <v>1326</v>
      </c>
      <c r="G59" s="180">
        <v>674</v>
      </c>
      <c r="H59" s="180">
        <v>2000</v>
      </c>
      <c r="I59" s="180"/>
      <c r="J59" s="180"/>
      <c r="K59" s="180"/>
      <c r="L59" s="180"/>
      <c r="M59" s="180"/>
      <c r="N59" s="180"/>
      <c r="O59" s="181">
        <f t="shared" si="0"/>
        <v>3176</v>
      </c>
      <c r="P59" s="181">
        <f t="shared" si="1"/>
        <v>4000</v>
      </c>
      <c r="Q59" s="181">
        <f t="shared" si="2"/>
        <v>0</v>
      </c>
      <c r="R59" s="181">
        <f t="shared" si="3"/>
        <v>0</v>
      </c>
      <c r="S59" s="181">
        <f t="shared" si="4"/>
        <v>7176</v>
      </c>
    </row>
    <row r="60" spans="1:19" ht="15.75" thickBot="1">
      <c r="A60" s="178" t="s">
        <v>73</v>
      </c>
      <c r="B60" s="179" t="s">
        <v>184</v>
      </c>
      <c r="C60" s="180">
        <v>720.12</v>
      </c>
      <c r="D60" s="180">
        <v>1440.24</v>
      </c>
      <c r="E60" s="180">
        <v>1440.24</v>
      </c>
      <c r="F60" s="180">
        <v>1440.24</v>
      </c>
      <c r="G60" s="180">
        <v>1440.24</v>
      </c>
      <c r="H60" s="180">
        <v>1440.24</v>
      </c>
      <c r="I60" s="180">
        <v>1440.24</v>
      </c>
      <c r="J60" s="180">
        <v>1440.24</v>
      </c>
      <c r="K60" s="180">
        <v>1440.24</v>
      </c>
      <c r="L60" s="180">
        <v>1440.24</v>
      </c>
      <c r="M60" s="180">
        <v>1440.24</v>
      </c>
      <c r="N60" s="180">
        <v>1440.24</v>
      </c>
      <c r="O60" s="181">
        <f t="shared" si="0"/>
        <v>3600.6000000000004</v>
      </c>
      <c r="P60" s="181">
        <f t="shared" si="1"/>
        <v>4320.72</v>
      </c>
      <c r="Q60" s="181">
        <f t="shared" si="2"/>
        <v>4320.72</v>
      </c>
      <c r="R60" s="181">
        <f t="shared" si="3"/>
        <v>4320.72</v>
      </c>
      <c r="S60" s="181">
        <f t="shared" si="4"/>
        <v>16562.759999999998</v>
      </c>
    </row>
    <row r="61" spans="1:19" ht="15.75" thickBot="1">
      <c r="A61" s="178" t="s">
        <v>73</v>
      </c>
      <c r="B61" s="179" t="s">
        <v>185</v>
      </c>
      <c r="C61" s="180">
        <v>17164.59</v>
      </c>
      <c r="D61" s="180">
        <v>15496.51</v>
      </c>
      <c r="E61" s="180">
        <v>17939.66</v>
      </c>
      <c r="F61" s="180">
        <v>10540.4</v>
      </c>
      <c r="G61" s="180">
        <v>434.36</v>
      </c>
      <c r="H61" s="180"/>
      <c r="I61" s="180"/>
      <c r="J61" s="180"/>
      <c r="K61" s="180"/>
      <c r="L61" s="180"/>
      <c r="M61" s="180"/>
      <c r="N61" s="180"/>
      <c r="O61" s="181">
        <f t="shared" si="0"/>
        <v>50600.759999999995</v>
      </c>
      <c r="P61" s="181">
        <f t="shared" si="1"/>
        <v>10974.76</v>
      </c>
      <c r="Q61" s="181">
        <f t="shared" si="2"/>
        <v>0</v>
      </c>
      <c r="R61" s="181">
        <f t="shared" si="3"/>
        <v>0</v>
      </c>
      <c r="S61" s="181">
        <f t="shared" si="4"/>
        <v>61575.519999999997</v>
      </c>
    </row>
    <row r="62" spans="1:19" ht="15.75" thickBot="1">
      <c r="A62" s="178" t="s">
        <v>73</v>
      </c>
      <c r="B62" s="179" t="s">
        <v>186</v>
      </c>
      <c r="C62" s="180">
        <v>0</v>
      </c>
      <c r="D62" s="180">
        <v>0</v>
      </c>
      <c r="E62" s="180">
        <v>1100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1">
        <f>SUM(C62:E62)</f>
        <v>1100</v>
      </c>
      <c r="P62" s="181">
        <f>SUM(F62:H62)</f>
        <v>0</v>
      </c>
      <c r="Q62" s="181">
        <f>SUM(I62:K62)</f>
        <v>0</v>
      </c>
      <c r="R62" s="181">
        <f>SUM(L62:N62)</f>
        <v>0</v>
      </c>
      <c r="S62" s="181">
        <f>SUM(C62:N62)</f>
        <v>1100</v>
      </c>
    </row>
    <row r="63" spans="1:19" ht="15.75" thickBot="1">
      <c r="A63" s="178" t="s">
        <v>187</v>
      </c>
      <c r="B63" s="179" t="s">
        <v>188</v>
      </c>
      <c r="C63" s="180">
        <v>8000</v>
      </c>
      <c r="D63" s="180">
        <v>0</v>
      </c>
      <c r="E63" s="180">
        <v>0</v>
      </c>
      <c r="F63" s="180"/>
      <c r="G63" s="180">
        <v>0</v>
      </c>
      <c r="H63" s="180">
        <v>0</v>
      </c>
      <c r="I63" s="180"/>
      <c r="J63" s="180">
        <v>0</v>
      </c>
      <c r="K63" s="180">
        <v>0</v>
      </c>
      <c r="L63" s="180"/>
      <c r="M63" s="180">
        <v>0</v>
      </c>
      <c r="N63" s="180">
        <v>0</v>
      </c>
      <c r="O63" s="181">
        <f t="shared" si="0"/>
        <v>8000</v>
      </c>
      <c r="P63" s="181">
        <f t="shared" si="1"/>
        <v>0</v>
      </c>
      <c r="Q63" s="181">
        <f t="shared" si="2"/>
        <v>0</v>
      </c>
      <c r="R63" s="181">
        <f t="shared" si="3"/>
        <v>0</v>
      </c>
      <c r="S63" s="181">
        <f t="shared" si="4"/>
        <v>8000</v>
      </c>
    </row>
    <row r="64" spans="1:19" ht="15.75" thickBot="1">
      <c r="A64" s="178" t="s">
        <v>187</v>
      </c>
      <c r="B64" s="179" t="s">
        <v>189</v>
      </c>
      <c r="C64" s="180"/>
      <c r="D64" s="180">
        <v>80000</v>
      </c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1">
        <f t="shared" si="0"/>
        <v>80000</v>
      </c>
      <c r="P64" s="181">
        <f t="shared" si="1"/>
        <v>0</v>
      </c>
      <c r="Q64" s="181">
        <f t="shared" si="2"/>
        <v>0</v>
      </c>
      <c r="R64" s="181">
        <f t="shared" si="3"/>
        <v>0</v>
      </c>
      <c r="S64" s="181">
        <f t="shared" si="4"/>
        <v>80000</v>
      </c>
    </row>
    <row r="65" spans="1:19" ht="15.75" thickBot="1">
      <c r="A65" s="178" t="s">
        <v>187</v>
      </c>
      <c r="B65" s="179" t="s">
        <v>190</v>
      </c>
      <c r="C65" s="180"/>
      <c r="D65" s="180">
        <v>30000</v>
      </c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1">
        <f t="shared" si="0"/>
        <v>30000</v>
      </c>
      <c r="P65" s="181">
        <f t="shared" si="1"/>
        <v>0</v>
      </c>
      <c r="Q65" s="181">
        <f t="shared" si="2"/>
        <v>0</v>
      </c>
      <c r="R65" s="181">
        <f t="shared" si="3"/>
        <v>0</v>
      </c>
      <c r="S65" s="181">
        <f t="shared" si="4"/>
        <v>30000</v>
      </c>
    </row>
    <row r="66" spans="1:19" ht="15.75" thickBot="1">
      <c r="A66" s="178" t="s">
        <v>187</v>
      </c>
      <c r="B66" s="179" t="s">
        <v>191</v>
      </c>
      <c r="C66" s="180">
        <v>3000</v>
      </c>
      <c r="D66" s="180"/>
      <c r="E66" s="180"/>
      <c r="F66" s="180"/>
      <c r="G66" s="180"/>
      <c r="H66" s="180"/>
      <c r="I66" s="180">
        <v>3000</v>
      </c>
      <c r="J66" s="180"/>
      <c r="K66" s="180"/>
      <c r="L66" s="180"/>
      <c r="M66" s="180"/>
      <c r="N66" s="180"/>
      <c r="O66" s="181">
        <f t="shared" si="0"/>
        <v>3000</v>
      </c>
      <c r="P66" s="181">
        <f t="shared" si="1"/>
        <v>0</v>
      </c>
      <c r="Q66" s="181">
        <f t="shared" si="2"/>
        <v>3000</v>
      </c>
      <c r="R66" s="181">
        <f t="shared" si="3"/>
        <v>0</v>
      </c>
      <c r="S66" s="181">
        <f t="shared" si="4"/>
        <v>6000</v>
      </c>
    </row>
    <row r="67" spans="1:19" ht="15.75" thickBot="1">
      <c r="A67" s="178" t="s">
        <v>187</v>
      </c>
      <c r="B67" s="179" t="s">
        <v>353</v>
      </c>
      <c r="C67" s="180">
        <v>10625</v>
      </c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1">
        <f t="shared" ref="O67:O88" si="10">SUM(C67:E67)</f>
        <v>10625</v>
      </c>
      <c r="P67" s="181">
        <f t="shared" ref="P67:P88" si="11">SUM(F67:H67)</f>
        <v>0</v>
      </c>
      <c r="Q67" s="181">
        <f t="shared" ref="Q67:Q88" si="12">SUM(I67:K67)</f>
        <v>0</v>
      </c>
      <c r="R67" s="181">
        <f t="shared" ref="R67:R88" si="13">SUM(L67:N67)</f>
        <v>0</v>
      </c>
      <c r="S67" s="181">
        <f t="shared" ref="S67:S88" si="14">SUM(C67:N67)</f>
        <v>10625</v>
      </c>
    </row>
    <row r="68" spans="1:19" ht="15.75" thickBot="1">
      <c r="A68" s="178" t="s">
        <v>187</v>
      </c>
      <c r="B68" s="179" t="s">
        <v>192</v>
      </c>
      <c r="C68" s="180">
        <v>14000</v>
      </c>
      <c r="D68" s="180">
        <v>14000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1">
        <f t="shared" si="10"/>
        <v>28000</v>
      </c>
      <c r="P68" s="181">
        <f t="shared" si="11"/>
        <v>0</v>
      </c>
      <c r="Q68" s="181">
        <f t="shared" si="12"/>
        <v>0</v>
      </c>
      <c r="R68" s="181">
        <f t="shared" si="13"/>
        <v>0</v>
      </c>
      <c r="S68" s="181">
        <f t="shared" si="14"/>
        <v>28000</v>
      </c>
    </row>
    <row r="69" spans="1:19" ht="15.75" thickBot="1">
      <c r="A69" s="178" t="s">
        <v>29</v>
      </c>
      <c r="B69" s="179" t="s">
        <v>351</v>
      </c>
      <c r="C69" s="180">
        <v>21863.31</v>
      </c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1">
        <f t="shared" si="10"/>
        <v>21863.31</v>
      </c>
      <c r="P69" s="181">
        <f t="shared" si="11"/>
        <v>0</v>
      </c>
      <c r="Q69" s="181">
        <f t="shared" si="12"/>
        <v>0</v>
      </c>
      <c r="R69" s="181">
        <f t="shared" si="13"/>
        <v>0</v>
      </c>
      <c r="S69" s="181">
        <f t="shared" si="14"/>
        <v>21863.31</v>
      </c>
    </row>
    <row r="70" spans="1:19" ht="15.75" thickBot="1">
      <c r="A70" s="178" t="s">
        <v>29</v>
      </c>
      <c r="B70" s="179" t="s">
        <v>354</v>
      </c>
      <c r="C70" s="180">
        <v>475.57</v>
      </c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1">
        <f t="shared" si="10"/>
        <v>475.57</v>
      </c>
      <c r="P70" s="181">
        <f t="shared" si="11"/>
        <v>0</v>
      </c>
      <c r="Q70" s="181">
        <f t="shared" si="12"/>
        <v>0</v>
      </c>
      <c r="R70" s="181">
        <f t="shared" si="13"/>
        <v>0</v>
      </c>
      <c r="S70" s="181">
        <f t="shared" si="14"/>
        <v>475.57</v>
      </c>
    </row>
    <row r="71" spans="1:19" ht="15.75" thickBot="1">
      <c r="A71" s="178" t="s">
        <v>29</v>
      </c>
      <c r="B71" s="179" t="s">
        <v>355</v>
      </c>
      <c r="C71" s="180">
        <v>33.590000000000003</v>
      </c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1">
        <f t="shared" si="10"/>
        <v>33.590000000000003</v>
      </c>
      <c r="P71" s="181">
        <f t="shared" si="11"/>
        <v>0</v>
      </c>
      <c r="Q71" s="181">
        <f t="shared" si="12"/>
        <v>0</v>
      </c>
      <c r="R71" s="181">
        <f t="shared" si="13"/>
        <v>0</v>
      </c>
      <c r="S71" s="181">
        <f t="shared" si="14"/>
        <v>33.590000000000003</v>
      </c>
    </row>
    <row r="72" spans="1:19" ht="15.75" thickBot="1">
      <c r="A72" s="178" t="s">
        <v>29</v>
      </c>
      <c r="B72" s="179" t="s">
        <v>136</v>
      </c>
      <c r="C72" s="180">
        <v>529.71</v>
      </c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1">
        <f t="shared" si="10"/>
        <v>529.71</v>
      </c>
      <c r="P72" s="181">
        <f t="shared" si="11"/>
        <v>0</v>
      </c>
      <c r="Q72" s="181">
        <f t="shared" si="12"/>
        <v>0</v>
      </c>
      <c r="R72" s="181">
        <f t="shared" si="13"/>
        <v>0</v>
      </c>
      <c r="S72" s="181">
        <f t="shared" si="14"/>
        <v>529.71</v>
      </c>
    </row>
    <row r="73" spans="1:19" ht="15.75" thickBot="1">
      <c r="A73" s="178" t="s">
        <v>29</v>
      </c>
      <c r="B73" s="179" t="s">
        <v>350</v>
      </c>
      <c r="C73" s="180">
        <v>18180.77</v>
      </c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1">
        <f t="shared" si="10"/>
        <v>18180.77</v>
      </c>
      <c r="P73" s="181">
        <f t="shared" si="11"/>
        <v>0</v>
      </c>
      <c r="Q73" s="181">
        <f t="shared" si="12"/>
        <v>0</v>
      </c>
      <c r="R73" s="181">
        <f t="shared" si="13"/>
        <v>0</v>
      </c>
      <c r="S73" s="181">
        <f t="shared" si="14"/>
        <v>18180.77</v>
      </c>
    </row>
    <row r="74" spans="1:19" ht="15.75" thickBot="1">
      <c r="A74" s="178" t="s">
        <v>29</v>
      </c>
      <c r="B74" s="179" t="s">
        <v>349</v>
      </c>
      <c r="C74" s="180">
        <v>1734.03</v>
      </c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1">
        <f t="shared" si="10"/>
        <v>1734.03</v>
      </c>
      <c r="P74" s="181">
        <f t="shared" si="11"/>
        <v>0</v>
      </c>
      <c r="Q74" s="181">
        <f t="shared" si="12"/>
        <v>0</v>
      </c>
      <c r="R74" s="181">
        <f t="shared" si="13"/>
        <v>0</v>
      </c>
      <c r="S74" s="181">
        <f t="shared" si="14"/>
        <v>1734.03</v>
      </c>
    </row>
    <row r="75" spans="1:19" ht="15.75" thickBot="1">
      <c r="A75" s="178" t="s">
        <v>29</v>
      </c>
      <c r="B75" s="179" t="s">
        <v>356</v>
      </c>
      <c r="C75" s="180">
        <v>26.05</v>
      </c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1">
        <f t="shared" si="10"/>
        <v>26.05</v>
      </c>
      <c r="P75" s="181">
        <f t="shared" si="11"/>
        <v>0</v>
      </c>
      <c r="Q75" s="181">
        <f t="shared" si="12"/>
        <v>0</v>
      </c>
      <c r="R75" s="181">
        <f t="shared" si="13"/>
        <v>0</v>
      </c>
      <c r="S75" s="181">
        <f t="shared" si="14"/>
        <v>26.05</v>
      </c>
    </row>
    <row r="76" spans="1:19" ht="15.75" thickBot="1">
      <c r="A76" s="178" t="s">
        <v>29</v>
      </c>
      <c r="B76" s="179" t="s">
        <v>357</v>
      </c>
      <c r="C76" s="180">
        <v>67.66</v>
      </c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1">
        <f t="shared" si="10"/>
        <v>67.66</v>
      </c>
      <c r="P76" s="181">
        <f t="shared" si="11"/>
        <v>0</v>
      </c>
      <c r="Q76" s="181">
        <f t="shared" si="12"/>
        <v>0</v>
      </c>
      <c r="R76" s="181">
        <f t="shared" si="13"/>
        <v>0</v>
      </c>
      <c r="S76" s="181">
        <f t="shared" si="14"/>
        <v>67.66</v>
      </c>
    </row>
    <row r="77" spans="1:19" ht="15.75" thickBot="1">
      <c r="A77" s="178" t="s">
        <v>29</v>
      </c>
      <c r="B77" s="179" t="s">
        <v>358</v>
      </c>
      <c r="C77" s="180">
        <v>19.12</v>
      </c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1">
        <f t="shared" si="10"/>
        <v>19.12</v>
      </c>
      <c r="P77" s="181">
        <f t="shared" si="11"/>
        <v>0</v>
      </c>
      <c r="Q77" s="181">
        <f t="shared" si="12"/>
        <v>0</v>
      </c>
      <c r="R77" s="181">
        <f t="shared" si="13"/>
        <v>0</v>
      </c>
      <c r="S77" s="181">
        <f t="shared" si="14"/>
        <v>19.12</v>
      </c>
    </row>
    <row r="78" spans="1:19" ht="15.75" thickBot="1">
      <c r="A78" s="178" t="s">
        <v>29</v>
      </c>
      <c r="B78" s="179" t="s">
        <v>348</v>
      </c>
      <c r="C78" s="180">
        <v>5460.11</v>
      </c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1">
        <f t="shared" si="10"/>
        <v>5460.11</v>
      </c>
      <c r="P78" s="181">
        <f t="shared" si="11"/>
        <v>0</v>
      </c>
      <c r="Q78" s="181">
        <f t="shared" si="12"/>
        <v>0</v>
      </c>
      <c r="R78" s="181">
        <f t="shared" si="13"/>
        <v>0</v>
      </c>
      <c r="S78" s="181">
        <f t="shared" si="14"/>
        <v>5460.11</v>
      </c>
    </row>
    <row r="79" spans="1:19" ht="15.75" thickBot="1">
      <c r="A79" s="178" t="s">
        <v>29</v>
      </c>
      <c r="B79" s="179" t="s">
        <v>359</v>
      </c>
      <c r="C79" s="180">
        <v>4683.4799999999996</v>
      </c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1">
        <f t="shared" si="10"/>
        <v>4683.4799999999996</v>
      </c>
      <c r="P79" s="181">
        <f t="shared" si="11"/>
        <v>0</v>
      </c>
      <c r="Q79" s="181">
        <f t="shared" si="12"/>
        <v>0</v>
      </c>
      <c r="R79" s="181">
        <f t="shared" si="13"/>
        <v>0</v>
      </c>
      <c r="S79" s="181">
        <f t="shared" si="14"/>
        <v>4683.4799999999996</v>
      </c>
    </row>
    <row r="80" spans="1:19" ht="15.75" thickBot="1">
      <c r="A80" s="178" t="s">
        <v>29</v>
      </c>
      <c r="B80" s="179" t="s">
        <v>347</v>
      </c>
      <c r="C80" s="180">
        <v>1826.37</v>
      </c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1">
        <f t="shared" si="10"/>
        <v>1826.37</v>
      </c>
      <c r="P80" s="181">
        <f t="shared" si="11"/>
        <v>0</v>
      </c>
      <c r="Q80" s="181">
        <f t="shared" si="12"/>
        <v>0</v>
      </c>
      <c r="R80" s="181">
        <f t="shared" si="13"/>
        <v>0</v>
      </c>
      <c r="S80" s="181">
        <f t="shared" si="14"/>
        <v>1826.37</v>
      </c>
    </row>
    <row r="81" spans="1:19" ht="15.75" thickBot="1">
      <c r="A81" s="178" t="s">
        <v>29</v>
      </c>
      <c r="B81" s="179" t="s">
        <v>360</v>
      </c>
      <c r="C81" s="180">
        <v>755.16</v>
      </c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1">
        <f t="shared" si="10"/>
        <v>755.16</v>
      </c>
      <c r="P81" s="181">
        <f t="shared" si="11"/>
        <v>0</v>
      </c>
      <c r="Q81" s="181">
        <f t="shared" si="12"/>
        <v>0</v>
      </c>
      <c r="R81" s="181">
        <f t="shared" si="13"/>
        <v>0</v>
      </c>
      <c r="S81" s="181">
        <f t="shared" si="14"/>
        <v>755.16</v>
      </c>
    </row>
    <row r="82" spans="1:19" ht="15.75" thickBot="1">
      <c r="A82" s="178" t="s">
        <v>29</v>
      </c>
      <c r="B82" s="179" t="s">
        <v>361</v>
      </c>
      <c r="C82" s="180">
        <v>721.76</v>
      </c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1">
        <f t="shared" si="10"/>
        <v>721.76</v>
      </c>
      <c r="P82" s="181">
        <f t="shared" si="11"/>
        <v>0</v>
      </c>
      <c r="Q82" s="181">
        <f t="shared" si="12"/>
        <v>0</v>
      </c>
      <c r="R82" s="181">
        <f t="shared" si="13"/>
        <v>0</v>
      </c>
      <c r="S82" s="181">
        <f t="shared" si="14"/>
        <v>721.76</v>
      </c>
    </row>
    <row r="83" spans="1:19" ht="15.75" thickBot="1">
      <c r="A83" s="178" t="s">
        <v>29</v>
      </c>
      <c r="B83" s="179" t="s">
        <v>346</v>
      </c>
      <c r="C83" s="180">
        <v>1110.07</v>
      </c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1">
        <f t="shared" si="10"/>
        <v>1110.07</v>
      </c>
      <c r="P83" s="181">
        <f t="shared" si="11"/>
        <v>0</v>
      </c>
      <c r="Q83" s="181">
        <f t="shared" si="12"/>
        <v>0</v>
      </c>
      <c r="R83" s="181">
        <f t="shared" si="13"/>
        <v>0</v>
      </c>
      <c r="S83" s="181">
        <f t="shared" si="14"/>
        <v>1110.07</v>
      </c>
    </row>
    <row r="84" spans="1:19" ht="15.75" thickBot="1">
      <c r="A84" s="178" t="s">
        <v>29</v>
      </c>
      <c r="B84" s="179" t="s">
        <v>362</v>
      </c>
      <c r="C84" s="180">
        <v>40.58</v>
      </c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1">
        <f t="shared" si="10"/>
        <v>40.58</v>
      </c>
      <c r="P84" s="181">
        <f t="shared" si="11"/>
        <v>0</v>
      </c>
      <c r="Q84" s="181">
        <f t="shared" si="12"/>
        <v>0</v>
      </c>
      <c r="R84" s="181">
        <f t="shared" si="13"/>
        <v>0</v>
      </c>
      <c r="S84" s="181">
        <f t="shared" si="14"/>
        <v>40.58</v>
      </c>
    </row>
    <row r="85" spans="1:19" ht="15.75" thickBot="1">
      <c r="A85" s="178" t="s">
        <v>29</v>
      </c>
      <c r="B85" s="179" t="s">
        <v>363</v>
      </c>
      <c r="C85" s="180">
        <v>210.59</v>
      </c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1">
        <f t="shared" si="10"/>
        <v>210.59</v>
      </c>
      <c r="P85" s="181">
        <f t="shared" si="11"/>
        <v>0</v>
      </c>
      <c r="Q85" s="181">
        <f t="shared" si="12"/>
        <v>0</v>
      </c>
      <c r="R85" s="181">
        <f t="shared" si="13"/>
        <v>0</v>
      </c>
      <c r="S85" s="181">
        <f t="shared" si="14"/>
        <v>210.59</v>
      </c>
    </row>
    <row r="86" spans="1:19" ht="15.75" thickBot="1">
      <c r="A86" s="178" t="s">
        <v>29</v>
      </c>
      <c r="B86" s="179" t="s">
        <v>364</v>
      </c>
      <c r="C86" s="180">
        <v>21.2</v>
      </c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1">
        <f t="shared" si="10"/>
        <v>21.2</v>
      </c>
      <c r="P86" s="181">
        <f t="shared" si="11"/>
        <v>0</v>
      </c>
      <c r="Q86" s="181">
        <f t="shared" si="12"/>
        <v>0</v>
      </c>
      <c r="R86" s="181">
        <f t="shared" si="13"/>
        <v>0</v>
      </c>
      <c r="S86" s="181">
        <f t="shared" si="14"/>
        <v>21.2</v>
      </c>
    </row>
    <row r="87" spans="1:19" ht="15.75" thickBot="1">
      <c r="A87" s="178" t="s">
        <v>29</v>
      </c>
      <c r="B87" s="179" t="s">
        <v>365</v>
      </c>
      <c r="C87" s="180">
        <v>492.94</v>
      </c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1">
        <f t="shared" si="10"/>
        <v>492.94</v>
      </c>
      <c r="P87" s="181">
        <f t="shared" si="11"/>
        <v>0</v>
      </c>
      <c r="Q87" s="181">
        <f t="shared" si="12"/>
        <v>0</v>
      </c>
      <c r="R87" s="181">
        <f t="shared" si="13"/>
        <v>0</v>
      </c>
      <c r="S87" s="181">
        <f t="shared" si="14"/>
        <v>492.94</v>
      </c>
    </row>
    <row r="88" spans="1:19" ht="15.75" thickBot="1">
      <c r="A88" s="178" t="s">
        <v>366</v>
      </c>
      <c r="B88" s="179" t="s">
        <v>367</v>
      </c>
      <c r="C88" s="180">
        <v>13750</v>
      </c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1">
        <f t="shared" si="10"/>
        <v>13750</v>
      </c>
      <c r="P88" s="181">
        <f t="shared" si="11"/>
        <v>0</v>
      </c>
      <c r="Q88" s="181">
        <f t="shared" si="12"/>
        <v>0</v>
      </c>
      <c r="R88" s="181">
        <f t="shared" si="13"/>
        <v>0</v>
      </c>
      <c r="S88" s="181">
        <f t="shared" si="14"/>
        <v>13750</v>
      </c>
    </row>
    <row r="89" spans="1:19" ht="15.75" thickBot="1">
      <c r="A89" s="178" t="s">
        <v>193</v>
      </c>
      <c r="B89" s="183" t="s">
        <v>194</v>
      </c>
      <c r="C89" s="184">
        <f>SUM(C2:C88)</f>
        <v>1762549.9400000011</v>
      </c>
      <c r="D89" s="184">
        <f t="shared" ref="D89:N89" si="15">SUM(D2:D88)</f>
        <v>1633803.58</v>
      </c>
      <c r="E89" s="184">
        <f t="shared" si="15"/>
        <v>1452977.4300000002</v>
      </c>
      <c r="F89" s="184">
        <f t="shared" si="15"/>
        <v>735496.27999999991</v>
      </c>
      <c r="G89" s="184">
        <f t="shared" si="15"/>
        <v>613513.66999999993</v>
      </c>
      <c r="H89" s="184">
        <f t="shared" si="15"/>
        <v>604824.97999999986</v>
      </c>
      <c r="I89" s="184">
        <f t="shared" si="15"/>
        <v>612871.92999999993</v>
      </c>
      <c r="J89" s="184">
        <f t="shared" si="15"/>
        <v>582523.07999999984</v>
      </c>
      <c r="K89" s="184">
        <f t="shared" si="15"/>
        <v>453179.2</v>
      </c>
      <c r="L89" s="184">
        <f t="shared" si="15"/>
        <v>458032.22999999992</v>
      </c>
      <c r="M89" s="184">
        <f t="shared" si="15"/>
        <v>481243.50999999989</v>
      </c>
      <c r="N89" s="184">
        <f t="shared" si="15"/>
        <v>391254</v>
      </c>
      <c r="O89" s="185">
        <f>SUM(O2:O88)</f>
        <v>4849330.95</v>
      </c>
      <c r="P89" s="185">
        <f t="shared" ref="P89:R89" si="16">SUM(P2:P88)</f>
        <v>1953834.9300000002</v>
      </c>
      <c r="Q89" s="185">
        <f t="shared" si="16"/>
        <v>1648574.2099999997</v>
      </c>
      <c r="R89" s="185">
        <f t="shared" si="16"/>
        <v>1330529.74</v>
      </c>
      <c r="S89" s="185">
        <f>SUM(S2:S88)</f>
        <v>9782269.8299999982</v>
      </c>
    </row>
    <row r="90" spans="1:19" ht="15.75" thickBot="1">
      <c r="A90" s="186" t="s">
        <v>193</v>
      </c>
      <c r="B90" s="187" t="s">
        <v>195</v>
      </c>
      <c r="C90" s="188">
        <v>1899596.52</v>
      </c>
      <c r="D90" s="189">
        <v>1726511.11</v>
      </c>
      <c r="E90" s="189">
        <v>1542353.56</v>
      </c>
      <c r="F90" s="189">
        <v>787381.36</v>
      </c>
      <c r="G90" s="189">
        <v>655302.26</v>
      </c>
      <c r="H90" s="189">
        <v>651255.48</v>
      </c>
      <c r="I90" s="189">
        <v>659249.67000000004</v>
      </c>
      <c r="J90" s="189">
        <v>628994.32999999996</v>
      </c>
      <c r="K90" s="189">
        <v>485598.7</v>
      </c>
      <c r="L90" s="189">
        <v>489758.84</v>
      </c>
      <c r="M90" s="189">
        <v>515302</v>
      </c>
      <c r="N90" s="190">
        <v>418310.83</v>
      </c>
      <c r="O90" s="191">
        <f>SUM(C90+D90+E90)</f>
        <v>5168461.1899999995</v>
      </c>
      <c r="P90" s="192">
        <f>SUM(F90:H90)</f>
        <v>2093939.1</v>
      </c>
      <c r="Q90" s="192">
        <f>SUM(I90:K90)</f>
        <v>1773842.7</v>
      </c>
      <c r="R90" s="192">
        <f>SUM(L90:N90)</f>
        <v>1423371.6700000002</v>
      </c>
      <c r="S90" s="193">
        <f>SUM(C90:N90)</f>
        <v>10459614.659999998</v>
      </c>
    </row>
    <row r="91" spans="1:19" ht="15.75" thickBot="1"/>
    <row r="92" spans="1:19" ht="15.75" thickBot="1">
      <c r="C92" t="s">
        <v>46</v>
      </c>
      <c r="D92" t="s">
        <v>47</v>
      </c>
      <c r="E92" t="s">
        <v>196</v>
      </c>
      <c r="F92" t="s">
        <v>197</v>
      </c>
      <c r="G92" t="s">
        <v>38</v>
      </c>
      <c r="H92" t="s">
        <v>198</v>
      </c>
      <c r="I92" t="s">
        <v>199</v>
      </c>
      <c r="J92" t="s">
        <v>41</v>
      </c>
      <c r="K92" t="s">
        <v>42</v>
      </c>
      <c r="L92" t="s">
        <v>43</v>
      </c>
      <c r="M92" t="s">
        <v>200</v>
      </c>
      <c r="N92" t="s">
        <v>45</v>
      </c>
      <c r="O92" s="194" t="s">
        <v>6</v>
      </c>
      <c r="P92" s="195" t="s">
        <v>7</v>
      </c>
      <c r="Q92" s="195" t="s">
        <v>8</v>
      </c>
      <c r="R92" s="195" t="s">
        <v>9</v>
      </c>
      <c r="S92" s="196" t="s">
        <v>71</v>
      </c>
    </row>
    <row r="93" spans="1:19">
      <c r="B93" s="197" t="s">
        <v>201</v>
      </c>
      <c r="C93" s="198">
        <v>176440.34</v>
      </c>
      <c r="D93" s="198">
        <v>155220.42000000001</v>
      </c>
      <c r="E93" s="198">
        <v>163649.4</v>
      </c>
      <c r="F93" s="198">
        <v>40891.86</v>
      </c>
      <c r="G93" s="198">
        <v>27258.080000000002</v>
      </c>
      <c r="H93" s="198">
        <v>29438.19</v>
      </c>
      <c r="I93" s="198">
        <v>24918.82</v>
      </c>
      <c r="J93" s="198">
        <v>24118.19</v>
      </c>
      <c r="K93" s="198">
        <v>24118.19</v>
      </c>
      <c r="L93" s="198">
        <v>24918.82</v>
      </c>
      <c r="M93" s="199">
        <v>24118.19</v>
      </c>
      <c r="N93" s="200">
        <v>24118.19</v>
      </c>
      <c r="O93" s="201">
        <f>SUM(C93:E93)</f>
        <v>495310.16000000003</v>
      </c>
      <c r="P93" s="202">
        <f t="shared" ref="P93:P104" si="17">SUM(F93:H93)</f>
        <v>97588.13</v>
      </c>
      <c r="Q93" s="202">
        <f t="shared" ref="Q93:Q104" si="18">SUM(I93:K93)</f>
        <v>73155.199999999997</v>
      </c>
      <c r="R93" s="202">
        <f t="shared" ref="R93:R104" si="19">SUM(L93:N93)</f>
        <v>73155.199999999997</v>
      </c>
      <c r="S93" s="203">
        <f t="shared" ref="S93:S104" si="20">SUM(C93:N93)</f>
        <v>739208.68999999959</v>
      </c>
    </row>
    <row r="94" spans="1:19">
      <c r="B94" s="204" t="s">
        <v>202</v>
      </c>
      <c r="C94" s="202">
        <v>188584.07</v>
      </c>
      <c r="D94" s="202">
        <v>171806.7</v>
      </c>
      <c r="E94" s="202">
        <v>180441.42</v>
      </c>
      <c r="F94" s="202">
        <v>41717.06</v>
      </c>
      <c r="G94" s="202">
        <v>28083.279999999999</v>
      </c>
      <c r="H94" s="202">
        <v>30248.23</v>
      </c>
      <c r="I94" s="202">
        <v>25728.86</v>
      </c>
      <c r="J94" s="202">
        <v>24928.23</v>
      </c>
      <c r="K94" s="202">
        <v>24928.23</v>
      </c>
      <c r="L94" s="202">
        <v>25728.86</v>
      </c>
      <c r="M94" s="205">
        <v>24928.23</v>
      </c>
      <c r="N94" s="206">
        <v>24928.23</v>
      </c>
      <c r="O94" s="201">
        <f t="shared" ref="O94:O104" si="21">SUM(C94:E94)</f>
        <v>540832.19000000006</v>
      </c>
      <c r="P94" s="202">
        <f t="shared" si="17"/>
        <v>100048.56999999999</v>
      </c>
      <c r="Q94" s="202">
        <f t="shared" si="18"/>
        <v>75585.319999999992</v>
      </c>
      <c r="R94" s="202">
        <f t="shared" si="19"/>
        <v>75585.319999999992</v>
      </c>
      <c r="S94" s="203">
        <f t="shared" si="20"/>
        <v>792051.39999999991</v>
      </c>
    </row>
    <row r="95" spans="1:19">
      <c r="B95" s="204" t="s">
        <v>203</v>
      </c>
      <c r="C95" s="202">
        <v>1478482.52</v>
      </c>
      <c r="D95" s="202">
        <v>1354583.15</v>
      </c>
      <c r="E95" s="202">
        <v>1289328.02</v>
      </c>
      <c r="F95" s="202">
        <v>694604.41</v>
      </c>
      <c r="G95" s="202">
        <v>586255.59</v>
      </c>
      <c r="H95" s="202">
        <v>575386.79</v>
      </c>
      <c r="I95" s="202">
        <v>584953.12</v>
      </c>
      <c r="J95" s="202">
        <v>558404.88</v>
      </c>
      <c r="K95" s="202">
        <v>429061</v>
      </c>
      <c r="L95" s="202">
        <v>433113.41</v>
      </c>
      <c r="M95" s="205">
        <v>457125.32</v>
      </c>
      <c r="N95" s="206">
        <v>367135.8</v>
      </c>
      <c r="O95" s="201">
        <f t="shared" si="21"/>
        <v>4122393.69</v>
      </c>
      <c r="P95" s="202">
        <f t="shared" si="17"/>
        <v>1856246.79</v>
      </c>
      <c r="Q95" s="202">
        <f t="shared" si="18"/>
        <v>1572419</v>
      </c>
      <c r="R95" s="202">
        <f t="shared" si="19"/>
        <v>1257374.53</v>
      </c>
      <c r="S95" s="203">
        <f t="shared" si="20"/>
        <v>8808434.0099999998</v>
      </c>
    </row>
    <row r="96" spans="1:19">
      <c r="B96" s="204" t="s">
        <v>204</v>
      </c>
      <c r="C96" s="202">
        <v>1564550.65</v>
      </c>
      <c r="D96" s="202">
        <v>1430704.41</v>
      </c>
      <c r="E96" s="202">
        <v>1361912.14</v>
      </c>
      <c r="F96" s="202">
        <v>745664.3</v>
      </c>
      <c r="G96" s="202">
        <v>627218.99</v>
      </c>
      <c r="H96" s="202">
        <v>621007.25</v>
      </c>
      <c r="I96" s="202">
        <v>630520.81000000006</v>
      </c>
      <c r="J96" s="202">
        <v>604066.09</v>
      </c>
      <c r="K96" s="202">
        <v>460670.47</v>
      </c>
      <c r="L96" s="202">
        <v>464029.97</v>
      </c>
      <c r="M96" s="205">
        <v>490373.77</v>
      </c>
      <c r="N96" s="206">
        <v>393382.6</v>
      </c>
      <c r="O96" s="201">
        <f t="shared" si="21"/>
        <v>4357167.1999999993</v>
      </c>
      <c r="P96" s="202">
        <f t="shared" si="17"/>
        <v>1993890.54</v>
      </c>
      <c r="Q96" s="202">
        <f t="shared" si="18"/>
        <v>1695257.3699999999</v>
      </c>
      <c r="R96" s="202">
        <f t="shared" si="19"/>
        <v>1347786.3399999999</v>
      </c>
      <c r="S96" s="203">
        <f t="shared" si="20"/>
        <v>9394101.4499999974</v>
      </c>
    </row>
    <row r="97" spans="2:19">
      <c r="B97" s="204" t="s">
        <v>205</v>
      </c>
      <c r="C97" s="202">
        <v>35625</v>
      </c>
      <c r="D97" s="202">
        <v>124000</v>
      </c>
      <c r="E97" s="202">
        <v>0</v>
      </c>
      <c r="F97" s="202">
        <v>0</v>
      </c>
      <c r="G97" s="202">
        <v>0</v>
      </c>
      <c r="H97" s="202">
        <v>0</v>
      </c>
      <c r="I97" s="202">
        <v>3000</v>
      </c>
      <c r="J97" s="202">
        <v>0</v>
      </c>
      <c r="K97" s="202">
        <v>0</v>
      </c>
      <c r="L97" s="202">
        <v>0</v>
      </c>
      <c r="M97" s="202">
        <v>0</v>
      </c>
      <c r="N97" s="207">
        <v>0</v>
      </c>
      <c r="O97" s="201">
        <f t="shared" si="21"/>
        <v>159625</v>
      </c>
      <c r="P97" s="202">
        <f t="shared" si="17"/>
        <v>0</v>
      </c>
      <c r="Q97" s="202">
        <f t="shared" si="18"/>
        <v>3000</v>
      </c>
      <c r="R97" s="202">
        <f t="shared" si="19"/>
        <v>0</v>
      </c>
      <c r="S97" s="203">
        <f t="shared" si="20"/>
        <v>162625</v>
      </c>
    </row>
    <row r="98" spans="2:19">
      <c r="B98" s="204" t="s">
        <v>206</v>
      </c>
      <c r="C98" s="202">
        <v>35625</v>
      </c>
      <c r="D98" s="202">
        <v>124000</v>
      </c>
      <c r="E98" s="202">
        <v>0</v>
      </c>
      <c r="F98" s="202">
        <v>0</v>
      </c>
      <c r="G98" s="202">
        <v>0</v>
      </c>
      <c r="H98" s="202">
        <v>0</v>
      </c>
      <c r="I98" s="202">
        <v>3000</v>
      </c>
      <c r="J98" s="202">
        <v>0</v>
      </c>
      <c r="K98" s="202">
        <v>0</v>
      </c>
      <c r="L98" s="202">
        <v>0</v>
      </c>
      <c r="M98" s="202">
        <v>0</v>
      </c>
      <c r="N98" s="207">
        <v>0</v>
      </c>
      <c r="O98" s="201">
        <f t="shared" si="21"/>
        <v>159625</v>
      </c>
      <c r="P98" s="202">
        <f t="shared" si="17"/>
        <v>0</v>
      </c>
      <c r="Q98" s="202">
        <f t="shared" si="18"/>
        <v>3000</v>
      </c>
      <c r="R98" s="202">
        <f t="shared" si="19"/>
        <v>0</v>
      </c>
      <c r="S98" s="203">
        <f t="shared" si="20"/>
        <v>162625</v>
      </c>
    </row>
    <row r="99" spans="2:19">
      <c r="B99" s="204" t="s">
        <v>207</v>
      </c>
      <c r="C99" s="202">
        <v>58252.08</v>
      </c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7"/>
      <c r="O99" s="201">
        <f t="shared" si="21"/>
        <v>58252.08</v>
      </c>
      <c r="P99" s="202">
        <f t="shared" si="17"/>
        <v>0</v>
      </c>
      <c r="Q99" s="202">
        <f t="shared" si="18"/>
        <v>0</v>
      </c>
      <c r="R99" s="202">
        <f t="shared" si="19"/>
        <v>0</v>
      </c>
      <c r="S99" s="203">
        <f t="shared" si="20"/>
        <v>58252.08</v>
      </c>
    </row>
    <row r="100" spans="2:19">
      <c r="B100" s="204" t="s">
        <v>208</v>
      </c>
      <c r="C100" s="202">
        <v>97086.8</v>
      </c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7"/>
      <c r="O100" s="201">
        <f t="shared" si="21"/>
        <v>97086.8</v>
      </c>
      <c r="P100" s="202">
        <f t="shared" si="17"/>
        <v>0</v>
      </c>
      <c r="Q100" s="202">
        <f t="shared" si="18"/>
        <v>0</v>
      </c>
      <c r="R100" s="202">
        <f t="shared" si="19"/>
        <v>0</v>
      </c>
      <c r="S100" s="203">
        <f t="shared" si="20"/>
        <v>97086.8</v>
      </c>
    </row>
    <row r="101" spans="2:19">
      <c r="B101" s="204" t="s">
        <v>209</v>
      </c>
      <c r="C101" s="202">
        <v>13750</v>
      </c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7"/>
      <c r="O101" s="201">
        <f t="shared" si="21"/>
        <v>13750</v>
      </c>
      <c r="P101" s="202">
        <f t="shared" si="17"/>
        <v>0</v>
      </c>
      <c r="Q101" s="202">
        <f t="shared" si="18"/>
        <v>0</v>
      </c>
      <c r="R101" s="202">
        <f t="shared" si="19"/>
        <v>0</v>
      </c>
      <c r="S101" s="203">
        <f t="shared" si="20"/>
        <v>13750</v>
      </c>
    </row>
    <row r="102" spans="2:19">
      <c r="B102" s="204" t="s">
        <v>210</v>
      </c>
      <c r="C102" s="202">
        <v>13750</v>
      </c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7"/>
      <c r="O102" s="201">
        <f t="shared" si="21"/>
        <v>13750</v>
      </c>
      <c r="P102" s="202">
        <f t="shared" si="17"/>
        <v>0</v>
      </c>
      <c r="Q102" s="202">
        <f t="shared" si="18"/>
        <v>0</v>
      </c>
      <c r="R102" s="202">
        <f t="shared" si="19"/>
        <v>0</v>
      </c>
      <c r="S102" s="203">
        <f t="shared" si="20"/>
        <v>13750</v>
      </c>
    </row>
    <row r="103" spans="2:19">
      <c r="B103" s="204" t="s">
        <v>211</v>
      </c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7"/>
      <c r="O103" s="201">
        <f t="shared" si="21"/>
        <v>0</v>
      </c>
      <c r="P103" s="202">
        <f t="shared" si="17"/>
        <v>0</v>
      </c>
      <c r="Q103" s="202">
        <f t="shared" si="18"/>
        <v>0</v>
      </c>
      <c r="R103" s="202">
        <f t="shared" si="19"/>
        <v>0</v>
      </c>
      <c r="S103" s="203">
        <f t="shared" si="20"/>
        <v>0</v>
      </c>
    </row>
    <row r="104" spans="2:19" ht="15.75" thickBot="1">
      <c r="B104" s="208" t="s">
        <v>212</v>
      </c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10"/>
      <c r="O104" s="211">
        <f t="shared" si="21"/>
        <v>0</v>
      </c>
      <c r="P104" s="209">
        <f t="shared" si="17"/>
        <v>0</v>
      </c>
      <c r="Q104" s="209">
        <f t="shared" si="18"/>
        <v>0</v>
      </c>
      <c r="R104" s="209">
        <f t="shared" si="19"/>
        <v>0</v>
      </c>
      <c r="S104" s="212">
        <f t="shared" si="20"/>
        <v>0</v>
      </c>
    </row>
    <row r="106" spans="2:19" hidden="1">
      <c r="C106" s="213">
        <f>SUM(C93+C95+C97+C99+C101+C103)</f>
        <v>1762549.9400000002</v>
      </c>
      <c r="D106" s="213">
        <f t="shared" ref="D106:N107" si="22">SUM(D93+D95+D97+D99+D101+D103)</f>
        <v>1633803.5699999998</v>
      </c>
      <c r="E106" s="213">
        <f t="shared" si="22"/>
        <v>1452977.42</v>
      </c>
      <c r="F106" s="213">
        <f t="shared" si="22"/>
        <v>735496.27</v>
      </c>
      <c r="G106" s="213">
        <f t="shared" si="22"/>
        <v>613513.66999999993</v>
      </c>
      <c r="H106" s="213">
        <f t="shared" si="22"/>
        <v>604824.98</v>
      </c>
      <c r="I106" s="213">
        <f t="shared" si="22"/>
        <v>612871.93999999994</v>
      </c>
      <c r="J106" s="213">
        <f t="shared" si="22"/>
        <v>582523.06999999995</v>
      </c>
      <c r="K106" s="213">
        <f t="shared" si="22"/>
        <v>453179.19</v>
      </c>
      <c r="L106" s="213">
        <f t="shared" si="22"/>
        <v>458032.23</v>
      </c>
      <c r="M106" s="213">
        <f t="shared" si="22"/>
        <v>481243.51</v>
      </c>
      <c r="N106" s="213">
        <f t="shared" si="22"/>
        <v>391253.99</v>
      </c>
    </row>
    <row r="107" spans="2:19" hidden="1">
      <c r="C107" s="213">
        <f>SUM(C94+C96+C98+C100+C102+C104)</f>
        <v>1899596.52</v>
      </c>
      <c r="D107" s="213">
        <f t="shared" si="22"/>
        <v>1726511.1099999999</v>
      </c>
      <c r="E107" s="213">
        <f t="shared" si="22"/>
        <v>1542353.5599999998</v>
      </c>
      <c r="F107" s="213">
        <f t="shared" si="22"/>
        <v>787381.3600000001</v>
      </c>
      <c r="G107" s="213">
        <f t="shared" si="22"/>
        <v>655302.27</v>
      </c>
      <c r="H107" s="213">
        <f t="shared" si="22"/>
        <v>651255.48</v>
      </c>
      <c r="I107" s="213">
        <f t="shared" si="22"/>
        <v>659249.67000000004</v>
      </c>
      <c r="J107" s="213">
        <f t="shared" si="22"/>
        <v>628994.31999999995</v>
      </c>
      <c r="K107" s="213">
        <f t="shared" si="22"/>
        <v>485598.69999999995</v>
      </c>
      <c r="L107" s="213">
        <f t="shared" si="22"/>
        <v>489758.82999999996</v>
      </c>
      <c r="M107" s="213">
        <f t="shared" si="22"/>
        <v>515302</v>
      </c>
      <c r="N107" s="213">
        <f t="shared" si="22"/>
        <v>418310.82999999996</v>
      </c>
    </row>
  </sheetData>
  <autoFilter ref="A1:S50" xr:uid="{C50568C3-33B2-4716-A72C-99F9FBBA595D}">
    <sortState ref="A2:S50">
      <sortCondition ref="B1:B50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1A82-B967-4E5E-AB93-5CB411151949}">
  <sheetPr>
    <tabColor rgb="FFFFFF00"/>
  </sheetPr>
  <dimension ref="A1"/>
  <sheetViews>
    <sheetView workbookViewId="0">
      <selection activeCell="S30" sqref="S30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04FC-B383-40C5-955F-D390EC2A5497}">
  <dimension ref="A1:N27"/>
  <sheetViews>
    <sheetView workbookViewId="0">
      <selection activeCell="H26" sqref="H26"/>
    </sheetView>
  </sheetViews>
  <sheetFormatPr defaultColWidth="9.140625" defaultRowHeight="11.25"/>
  <cols>
    <col min="1" max="1" width="42.28515625" style="218" bestFit="1" customWidth="1"/>
    <col min="2" max="2" width="16.7109375" style="218" customWidth="1"/>
    <col min="3" max="3" width="6.7109375" style="218" customWidth="1"/>
    <col min="4" max="4" width="9.140625" style="218"/>
    <col min="5" max="5" width="34.140625" style="218" bestFit="1" customWidth="1"/>
    <col min="6" max="6" width="29.42578125" style="218" bestFit="1" customWidth="1"/>
    <col min="7" max="7" width="48.7109375" style="218" bestFit="1" customWidth="1"/>
    <col min="8" max="8" width="11.140625" style="235" bestFit="1" customWidth="1"/>
    <col min="9" max="9" width="39.140625" style="218" bestFit="1" customWidth="1"/>
    <col min="10" max="16384" width="9.140625" style="218"/>
  </cols>
  <sheetData>
    <row r="1" spans="1:14" ht="15.75">
      <c r="A1" s="344" t="s">
        <v>281</v>
      </c>
      <c r="B1" s="344"/>
      <c r="E1" s="233" t="s">
        <v>316</v>
      </c>
    </row>
    <row r="2" spans="1:14" ht="15.75">
      <c r="A2" s="344" t="s">
        <v>282</v>
      </c>
      <c r="B2" s="344"/>
      <c r="E2" s="232" t="s">
        <v>305</v>
      </c>
      <c r="F2" s="232" t="s">
        <v>303</v>
      </c>
      <c r="G2" s="232" t="s">
        <v>304</v>
      </c>
      <c r="H2" s="236" t="s">
        <v>287</v>
      </c>
    </row>
    <row r="3" spans="1:14" ht="18">
      <c r="A3" s="343" t="s">
        <v>283</v>
      </c>
      <c r="B3" s="343"/>
      <c r="E3" s="218" t="s">
        <v>82</v>
      </c>
      <c r="F3" s="218" t="s">
        <v>292</v>
      </c>
      <c r="G3" s="234" t="s">
        <v>306</v>
      </c>
      <c r="H3" s="235">
        <v>1585323.98</v>
      </c>
    </row>
    <row r="4" spans="1:14" ht="18">
      <c r="A4" s="343" t="s">
        <v>284</v>
      </c>
      <c r="B4" s="343"/>
      <c r="E4" s="218" t="s">
        <v>82</v>
      </c>
      <c r="F4" s="218" t="s">
        <v>292</v>
      </c>
      <c r="G4" s="234" t="s">
        <v>310</v>
      </c>
      <c r="H4" s="235">
        <v>15750</v>
      </c>
    </row>
    <row r="5" spans="1:14" ht="18">
      <c r="A5" s="343" t="s">
        <v>285</v>
      </c>
      <c r="B5" s="343"/>
      <c r="E5" s="218" t="s">
        <v>82</v>
      </c>
      <c r="F5" s="218" t="s">
        <v>292</v>
      </c>
      <c r="G5" s="234" t="s">
        <v>311</v>
      </c>
      <c r="H5" s="235">
        <v>-856.51</v>
      </c>
    </row>
    <row r="6" spans="1:14" ht="18">
      <c r="A6" s="343" t="s">
        <v>285</v>
      </c>
      <c r="B6" s="343"/>
      <c r="E6" s="218" t="s">
        <v>83</v>
      </c>
      <c r="F6" s="218" t="s">
        <v>295</v>
      </c>
      <c r="G6" s="234" t="s">
        <v>313</v>
      </c>
      <c r="H6" s="235">
        <v>206218.13699999999</v>
      </c>
    </row>
    <row r="7" spans="1:14">
      <c r="A7" s="219" t="s">
        <v>286</v>
      </c>
      <c r="B7" s="220" t="s">
        <v>287</v>
      </c>
      <c r="E7" s="218" t="s">
        <v>84</v>
      </c>
      <c r="F7" s="218" t="s">
        <v>292</v>
      </c>
      <c r="G7" s="234" t="s">
        <v>307</v>
      </c>
      <c r="H7" s="235">
        <v>15000</v>
      </c>
    </row>
    <row r="8" spans="1:14">
      <c r="A8" s="221" t="s">
        <v>288</v>
      </c>
      <c r="B8" s="222"/>
      <c r="E8" s="218" t="s">
        <v>79</v>
      </c>
      <c r="F8" s="218" t="s">
        <v>293</v>
      </c>
      <c r="G8" s="234" t="s">
        <v>314</v>
      </c>
      <c r="H8" s="235">
        <v>68640.52</v>
      </c>
    </row>
    <row r="9" spans="1:14">
      <c r="A9" s="223" t="s">
        <v>289</v>
      </c>
      <c r="B9" s="222"/>
      <c r="E9" s="218" t="s">
        <v>79</v>
      </c>
      <c r="F9" s="218" t="s">
        <v>293</v>
      </c>
      <c r="G9" s="234" t="s">
        <v>315</v>
      </c>
      <c r="H9" s="235">
        <v>35998.660000000003</v>
      </c>
    </row>
    <row r="10" spans="1:14">
      <c r="A10" s="224" t="s">
        <v>290</v>
      </c>
      <c r="B10" s="222"/>
      <c r="E10" s="218" t="s">
        <v>79</v>
      </c>
      <c r="F10" s="218" t="s">
        <v>293</v>
      </c>
      <c r="G10" s="234" t="s">
        <v>317</v>
      </c>
      <c r="H10" s="235">
        <v>83774.61</v>
      </c>
    </row>
    <row r="11" spans="1:14">
      <c r="A11" s="225" t="s">
        <v>291</v>
      </c>
      <c r="B11" s="222"/>
      <c r="E11" s="218" t="s">
        <v>79</v>
      </c>
      <c r="F11" s="218" t="s">
        <v>293</v>
      </c>
      <c r="G11" s="234" t="s">
        <v>318</v>
      </c>
      <c r="H11" s="235">
        <v>597.15</v>
      </c>
    </row>
    <row r="12" spans="1:14">
      <c r="A12" s="226" t="s">
        <v>292</v>
      </c>
      <c r="B12" s="227">
        <v>1735547.95</v>
      </c>
      <c r="E12" s="218" t="s">
        <v>79</v>
      </c>
      <c r="F12" s="218" t="s">
        <v>293</v>
      </c>
      <c r="G12" s="234" t="s">
        <v>319</v>
      </c>
      <c r="H12" s="235">
        <v>5069.46</v>
      </c>
    </row>
    <row r="13" spans="1:14">
      <c r="A13" s="226" t="s">
        <v>293</v>
      </c>
      <c r="B13" s="227">
        <v>194080.4</v>
      </c>
      <c r="E13" s="218" t="s">
        <v>29</v>
      </c>
      <c r="F13" s="218" t="s">
        <v>292</v>
      </c>
      <c r="G13" s="234" t="s">
        <v>308</v>
      </c>
      <c r="H13" s="235">
        <v>67245.84</v>
      </c>
      <c r="N13" s="235"/>
    </row>
    <row r="14" spans="1:14">
      <c r="A14" s="226" t="s">
        <v>294</v>
      </c>
      <c r="B14" s="227">
        <v>2246693.85</v>
      </c>
      <c r="E14" s="218" t="s">
        <v>29</v>
      </c>
      <c r="F14" s="218" t="s">
        <v>292</v>
      </c>
      <c r="G14" s="234" t="s">
        <v>309</v>
      </c>
      <c r="H14" s="235">
        <v>44834.64</v>
      </c>
      <c r="N14" s="235"/>
    </row>
    <row r="15" spans="1:14">
      <c r="A15" s="226" t="s">
        <v>295</v>
      </c>
      <c r="B15" s="227">
        <v>206218.14</v>
      </c>
      <c r="E15" s="218" t="s">
        <v>86</v>
      </c>
      <c r="F15" s="218" t="s">
        <v>292</v>
      </c>
      <c r="G15" s="234" t="s">
        <v>312</v>
      </c>
      <c r="H15" s="235">
        <v>8250</v>
      </c>
      <c r="N15" s="235"/>
    </row>
    <row r="16" spans="1:14">
      <c r="A16" s="226" t="s">
        <v>296</v>
      </c>
      <c r="B16" s="227">
        <v>520419.54</v>
      </c>
      <c r="E16" s="218" t="s">
        <v>23</v>
      </c>
      <c r="F16" s="218" t="s">
        <v>294</v>
      </c>
      <c r="G16" s="234" t="s">
        <v>320</v>
      </c>
      <c r="H16" s="235">
        <v>2246693.85</v>
      </c>
      <c r="N16" s="235"/>
    </row>
    <row r="17" spans="1:9">
      <c r="A17" s="228" t="s">
        <v>297</v>
      </c>
      <c r="B17" s="229">
        <f>SUM(B12:B16)</f>
        <v>4902959.88</v>
      </c>
      <c r="E17" s="218" t="s">
        <v>85</v>
      </c>
      <c r="F17" s="218" t="s">
        <v>296</v>
      </c>
      <c r="G17" s="234" t="s">
        <v>321</v>
      </c>
      <c r="H17" s="235">
        <v>354136.40210936486</v>
      </c>
    </row>
    <row r="18" spans="1:9">
      <c r="A18" s="225" t="s">
        <v>298</v>
      </c>
      <c r="B18" s="222"/>
      <c r="E18" s="218" t="s">
        <v>85</v>
      </c>
      <c r="F18" s="218" t="s">
        <v>296</v>
      </c>
      <c r="G18" s="234" t="s">
        <v>322</v>
      </c>
      <c r="H18" s="235">
        <v>488372.19</v>
      </c>
      <c r="I18" s="237" t="s">
        <v>324</v>
      </c>
    </row>
    <row r="19" spans="1:9">
      <c r="A19" s="226" t="s">
        <v>299</v>
      </c>
      <c r="B19" s="227">
        <v>135028.99</v>
      </c>
      <c r="E19" s="218" t="s">
        <v>85</v>
      </c>
      <c r="F19" s="218" t="s">
        <v>296</v>
      </c>
      <c r="G19" s="234" t="s">
        <v>323</v>
      </c>
      <c r="H19" s="235">
        <v>-322089.04844076</v>
      </c>
      <c r="I19" s="237" t="s">
        <v>324</v>
      </c>
    </row>
    <row r="20" spans="1:9">
      <c r="A20" s="228" t="s">
        <v>300</v>
      </c>
      <c r="B20" s="229">
        <f>SUM(B19)</f>
        <v>135028.99</v>
      </c>
      <c r="E20" s="218" t="s">
        <v>89</v>
      </c>
      <c r="F20" s="218" t="s">
        <v>299</v>
      </c>
      <c r="G20" s="234" t="s">
        <v>329</v>
      </c>
      <c r="H20" s="235">
        <v>43896.82</v>
      </c>
    </row>
    <row r="21" spans="1:9">
      <c r="A21" s="230" t="s">
        <v>301</v>
      </c>
      <c r="B21" s="229">
        <f>SUM(B17,B20)</f>
        <v>5037988.87</v>
      </c>
      <c r="E21" s="218" t="s">
        <v>89</v>
      </c>
      <c r="F21" s="218" t="s">
        <v>299</v>
      </c>
      <c r="G21" s="251" t="s">
        <v>336</v>
      </c>
      <c r="H21" s="235">
        <v>6125</v>
      </c>
    </row>
    <row r="22" spans="1:9">
      <c r="A22" s="231" t="s">
        <v>302</v>
      </c>
      <c r="B22" s="229">
        <f>SUM(B21)</f>
        <v>5037988.87</v>
      </c>
      <c r="E22" s="218" t="s">
        <v>89</v>
      </c>
      <c r="F22" s="218" t="s">
        <v>299</v>
      </c>
      <c r="G22" s="234" t="s">
        <v>333</v>
      </c>
      <c r="H22" s="235">
        <v>72843.75</v>
      </c>
    </row>
    <row r="23" spans="1:9">
      <c r="E23" s="218" t="s">
        <v>89</v>
      </c>
      <c r="F23" s="218" t="s">
        <v>299</v>
      </c>
      <c r="G23" s="234" t="s">
        <v>334</v>
      </c>
      <c r="H23" s="235">
        <v>4400.42</v>
      </c>
    </row>
    <row r="24" spans="1:9">
      <c r="E24" s="218" t="s">
        <v>89</v>
      </c>
      <c r="F24" s="218" t="s">
        <v>299</v>
      </c>
      <c r="G24" s="234" t="s">
        <v>335</v>
      </c>
      <c r="H24" s="235">
        <v>338</v>
      </c>
    </row>
    <row r="25" spans="1:9">
      <c r="E25" s="218" t="s">
        <v>89</v>
      </c>
      <c r="F25" s="218" t="s">
        <v>299</v>
      </c>
      <c r="G25" s="234" t="s">
        <v>337</v>
      </c>
      <c r="H25" s="235">
        <v>7425</v>
      </c>
    </row>
    <row r="26" spans="1:9" ht="12" thickBot="1">
      <c r="E26" s="252" t="s">
        <v>338</v>
      </c>
      <c r="F26" s="252"/>
      <c r="G26" s="252"/>
      <c r="H26" s="253">
        <f>SUM(H3:H25)</f>
        <v>5037988.870668605</v>
      </c>
    </row>
    <row r="27" spans="1:9" ht="12" thickTop="1"/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B3B5-4DCE-404F-99CB-B32D0833B245}">
  <dimension ref="A1:F33"/>
  <sheetViews>
    <sheetView workbookViewId="0">
      <selection activeCell="I36" sqref="I36"/>
    </sheetView>
  </sheetViews>
  <sheetFormatPr defaultColWidth="12.5703125" defaultRowHeight="15.75" customHeight="1"/>
  <cols>
    <col min="2" max="2" width="20.140625" customWidth="1"/>
    <col min="3" max="3" width="11.28515625" style="256" bestFit="1" customWidth="1"/>
    <col min="4" max="4" width="18.7109375" bestFit="1" customWidth="1"/>
    <col min="5" max="5" width="10.85546875" customWidth="1"/>
    <col min="6" max="6" width="21.85546875" bestFit="1" customWidth="1"/>
  </cols>
  <sheetData>
    <row r="1" spans="1:6" ht="15">
      <c r="A1" s="238" t="s">
        <v>330</v>
      </c>
      <c r="B1" s="238" t="s">
        <v>325</v>
      </c>
      <c r="C1" s="254" t="s">
        <v>326</v>
      </c>
      <c r="D1" s="238" t="s">
        <v>327</v>
      </c>
      <c r="E1" s="238" t="s">
        <v>328</v>
      </c>
      <c r="F1" s="238" t="s">
        <v>331</v>
      </c>
    </row>
    <row r="2" spans="1:6" ht="15">
      <c r="A2" s="239">
        <v>45992</v>
      </c>
      <c r="B2" s="240">
        <v>34808.199999999997</v>
      </c>
      <c r="C2" s="241">
        <v>3570.81</v>
      </c>
      <c r="D2" s="242">
        <v>5445.96</v>
      </c>
      <c r="E2" s="240">
        <v>71.849999999999994</v>
      </c>
      <c r="F2" s="240">
        <f t="shared" ref="F2:F25" si="0">SUM(B2:E2)</f>
        <v>43896.819999999992</v>
      </c>
    </row>
    <row r="3" spans="1:6" ht="15">
      <c r="A3" s="239">
        <v>45962</v>
      </c>
      <c r="B3" s="240">
        <v>27273.5</v>
      </c>
      <c r="C3" s="240">
        <v>4244.1099999999997</v>
      </c>
      <c r="D3" s="242">
        <v>10271.39</v>
      </c>
      <c r="E3" s="240">
        <v>117.9</v>
      </c>
      <c r="F3" s="240">
        <f t="shared" si="0"/>
        <v>41906.9</v>
      </c>
    </row>
    <row r="4" spans="1:6" ht="15">
      <c r="A4" s="239">
        <v>45931</v>
      </c>
      <c r="B4" s="240">
        <v>43413.84</v>
      </c>
      <c r="C4" s="240">
        <v>3583.01</v>
      </c>
      <c r="D4" s="243">
        <v>5828.27</v>
      </c>
      <c r="E4" s="240">
        <v>142.35</v>
      </c>
      <c r="F4" s="240">
        <f t="shared" si="0"/>
        <v>52967.469999999994</v>
      </c>
    </row>
    <row r="5" spans="1:6" ht="15">
      <c r="A5" s="239">
        <v>45901</v>
      </c>
      <c r="B5" s="240">
        <v>35960.75</v>
      </c>
      <c r="C5" s="240" t="s">
        <v>332</v>
      </c>
      <c r="D5" s="244">
        <v>22699.3</v>
      </c>
      <c r="E5" s="240">
        <v>61.06</v>
      </c>
      <c r="F5" s="173">
        <f t="shared" si="0"/>
        <v>58721.11</v>
      </c>
    </row>
    <row r="6" spans="1:6" ht="15">
      <c r="A6" s="239">
        <v>45870</v>
      </c>
      <c r="B6" s="173">
        <v>27603.83</v>
      </c>
      <c r="C6" s="240" t="s">
        <v>332</v>
      </c>
      <c r="D6" s="245">
        <v>13501.01</v>
      </c>
      <c r="E6" s="173">
        <v>58.94</v>
      </c>
      <c r="F6" s="173">
        <f t="shared" si="0"/>
        <v>41163.780000000006</v>
      </c>
    </row>
    <row r="7" spans="1:6" ht="15">
      <c r="A7" s="239">
        <v>45839</v>
      </c>
      <c r="B7" s="173">
        <v>37946.519999999997</v>
      </c>
      <c r="C7" s="240" t="s">
        <v>332</v>
      </c>
      <c r="D7" s="246">
        <v>4637.72</v>
      </c>
      <c r="E7" s="173">
        <v>71.33</v>
      </c>
      <c r="F7" s="173">
        <f t="shared" si="0"/>
        <v>42655.57</v>
      </c>
    </row>
    <row r="8" spans="1:6" ht="15">
      <c r="A8" s="239">
        <v>45809</v>
      </c>
      <c r="B8" s="240">
        <v>30128.12</v>
      </c>
      <c r="C8" s="240" t="s">
        <v>332</v>
      </c>
      <c r="D8" s="247">
        <v>9511.14</v>
      </c>
      <c r="E8" s="240">
        <v>69.7</v>
      </c>
      <c r="F8" s="173">
        <f t="shared" si="0"/>
        <v>39708.959999999992</v>
      </c>
    </row>
    <row r="9" spans="1:6" ht="15">
      <c r="A9" s="239">
        <v>45778</v>
      </c>
      <c r="B9" s="173">
        <v>20520.63</v>
      </c>
      <c r="C9" s="255" t="s">
        <v>332</v>
      </c>
      <c r="D9" s="246">
        <v>4599.2299999999996</v>
      </c>
      <c r="E9" s="173">
        <v>81.66</v>
      </c>
      <c r="F9" s="173">
        <f t="shared" si="0"/>
        <v>25201.52</v>
      </c>
    </row>
    <row r="10" spans="1:6" ht="15">
      <c r="A10" s="239">
        <v>45748</v>
      </c>
      <c r="B10" s="173">
        <v>17686.2</v>
      </c>
      <c r="C10" s="255" t="s">
        <v>332</v>
      </c>
      <c r="D10" s="248">
        <v>4027.42</v>
      </c>
      <c r="E10" s="173">
        <v>236.93</v>
      </c>
      <c r="F10" s="173">
        <f t="shared" si="0"/>
        <v>21950.550000000003</v>
      </c>
    </row>
    <row r="11" spans="1:6" ht="15">
      <c r="A11" s="239">
        <v>45717</v>
      </c>
      <c r="B11" s="173">
        <v>21572.57</v>
      </c>
      <c r="C11" s="255">
        <v>411.93</v>
      </c>
      <c r="D11" s="173">
        <v>4059.94</v>
      </c>
      <c r="E11" s="173">
        <v>192.01</v>
      </c>
      <c r="F11" s="173">
        <f t="shared" si="0"/>
        <v>26236.449999999997</v>
      </c>
    </row>
    <row r="12" spans="1:6" ht="15">
      <c r="A12" s="239">
        <v>45689</v>
      </c>
      <c r="B12" s="173">
        <v>22253.14</v>
      </c>
      <c r="C12" s="255">
        <v>673.94</v>
      </c>
      <c r="D12" s="249">
        <v>5525.11</v>
      </c>
      <c r="E12" s="173">
        <v>0</v>
      </c>
      <c r="F12" s="173">
        <f t="shared" si="0"/>
        <v>28452.19</v>
      </c>
    </row>
    <row r="13" spans="1:6" ht="15">
      <c r="A13" s="239">
        <v>45658</v>
      </c>
      <c r="B13" s="173">
        <v>28889.13</v>
      </c>
      <c r="C13" s="255">
        <v>2181.0500000000002</v>
      </c>
      <c r="D13" s="249">
        <v>4403.22</v>
      </c>
      <c r="E13" s="173">
        <v>0</v>
      </c>
      <c r="F13" s="173">
        <f t="shared" si="0"/>
        <v>35473.4</v>
      </c>
    </row>
    <row r="14" spans="1:6" ht="15">
      <c r="A14" s="250">
        <v>45627</v>
      </c>
      <c r="B14" s="173">
        <v>11543.98</v>
      </c>
      <c r="C14" s="255">
        <v>538.80999999999995</v>
      </c>
      <c r="D14" s="249">
        <v>4381.09</v>
      </c>
      <c r="E14" s="173">
        <v>0</v>
      </c>
      <c r="F14" s="173">
        <f t="shared" si="0"/>
        <v>16463.879999999997</v>
      </c>
    </row>
    <row r="15" spans="1:6" ht="15">
      <c r="A15" s="250">
        <v>45597</v>
      </c>
      <c r="B15" s="173">
        <v>14125.72</v>
      </c>
      <c r="C15" s="255"/>
      <c r="D15" s="244">
        <v>0</v>
      </c>
      <c r="E15" s="173">
        <v>0</v>
      </c>
      <c r="F15" s="173">
        <f t="shared" si="0"/>
        <v>14125.72</v>
      </c>
    </row>
    <row r="16" spans="1:6" ht="15">
      <c r="A16" s="250">
        <v>45566</v>
      </c>
      <c r="B16" s="173">
        <v>14394.43</v>
      </c>
      <c r="C16" s="255"/>
      <c r="D16" s="249">
        <v>7342.43</v>
      </c>
      <c r="E16" s="173">
        <v>0</v>
      </c>
      <c r="F16" s="173">
        <f t="shared" si="0"/>
        <v>21736.86</v>
      </c>
    </row>
    <row r="17" spans="1:6" ht="15">
      <c r="A17" s="250">
        <v>45536</v>
      </c>
      <c r="B17" s="173">
        <v>11080.7</v>
      </c>
      <c r="C17" s="255"/>
      <c r="D17" s="249">
        <v>19408.45</v>
      </c>
      <c r="E17" s="173">
        <v>0</v>
      </c>
      <c r="F17" s="173">
        <f t="shared" si="0"/>
        <v>30489.15</v>
      </c>
    </row>
    <row r="18" spans="1:6" ht="15">
      <c r="A18" s="250">
        <v>45505</v>
      </c>
      <c r="B18" s="173">
        <v>10611.96</v>
      </c>
      <c r="C18" s="255"/>
      <c r="D18" s="249">
        <v>-44.84</v>
      </c>
      <c r="E18" s="173">
        <v>0</v>
      </c>
      <c r="F18" s="173">
        <f t="shared" si="0"/>
        <v>10567.119999999999</v>
      </c>
    </row>
    <row r="19" spans="1:6" ht="15">
      <c r="A19" s="250">
        <v>45474</v>
      </c>
      <c r="B19" s="173">
        <v>11089.3</v>
      </c>
      <c r="C19" s="255"/>
      <c r="D19" s="240">
        <v>0</v>
      </c>
      <c r="E19" s="173">
        <v>0</v>
      </c>
      <c r="F19" s="173">
        <f t="shared" si="0"/>
        <v>11089.3</v>
      </c>
    </row>
    <row r="20" spans="1:6" ht="15">
      <c r="A20" s="250">
        <v>45444</v>
      </c>
      <c r="B20" s="173">
        <v>11807.41</v>
      </c>
      <c r="C20" s="255"/>
      <c r="D20" s="243">
        <v>0</v>
      </c>
      <c r="E20" s="173">
        <v>0</v>
      </c>
      <c r="F20" s="173">
        <f t="shared" si="0"/>
        <v>11807.41</v>
      </c>
    </row>
    <row r="21" spans="1:6" ht="15">
      <c r="A21" s="250">
        <v>45413</v>
      </c>
      <c r="B21" s="173">
        <v>11108.54</v>
      </c>
      <c r="C21" s="255"/>
      <c r="D21" s="243">
        <v>0</v>
      </c>
      <c r="E21" s="173">
        <v>0</v>
      </c>
      <c r="F21" s="173">
        <f t="shared" si="0"/>
        <v>11108.54</v>
      </c>
    </row>
    <row r="22" spans="1:6" ht="15">
      <c r="A22" s="250">
        <v>45383</v>
      </c>
      <c r="B22" s="173">
        <v>9016.27</v>
      </c>
      <c r="C22" s="255"/>
      <c r="D22" s="243">
        <v>0</v>
      </c>
      <c r="E22" s="173">
        <v>0</v>
      </c>
      <c r="F22" s="173">
        <f t="shared" si="0"/>
        <v>9016.27</v>
      </c>
    </row>
    <row r="23" spans="1:6" ht="15">
      <c r="A23" s="250">
        <v>45352</v>
      </c>
      <c r="B23" s="173">
        <v>8834.23</v>
      </c>
      <c r="C23" s="255"/>
      <c r="D23" s="243">
        <v>0</v>
      </c>
      <c r="E23" s="173">
        <v>0</v>
      </c>
      <c r="F23" s="173">
        <f t="shared" si="0"/>
        <v>8834.23</v>
      </c>
    </row>
    <row r="24" spans="1:6" ht="15">
      <c r="A24" s="250">
        <v>45323</v>
      </c>
      <c r="B24" s="173">
        <v>9585.41</v>
      </c>
      <c r="C24" s="255"/>
      <c r="D24" s="243">
        <v>0</v>
      </c>
      <c r="E24" s="173">
        <v>0</v>
      </c>
      <c r="F24" s="173">
        <f t="shared" si="0"/>
        <v>9585.41</v>
      </c>
    </row>
    <row r="25" spans="1:6" ht="15">
      <c r="A25" s="250">
        <v>45292</v>
      </c>
      <c r="B25" s="173">
        <v>7584.57</v>
      </c>
      <c r="C25" s="255"/>
      <c r="D25" s="243">
        <v>0</v>
      </c>
      <c r="E25" s="173">
        <v>0</v>
      </c>
      <c r="F25" s="173">
        <f t="shared" si="0"/>
        <v>7584.57</v>
      </c>
    </row>
    <row r="26" spans="1:6" ht="15">
      <c r="A26" s="250"/>
      <c r="B26" s="173"/>
      <c r="C26" s="255"/>
      <c r="D26" s="173"/>
      <c r="E26" s="173"/>
      <c r="F26" s="173"/>
    </row>
    <row r="27" spans="1:6" ht="15">
      <c r="B27" s="173"/>
      <c r="C27" s="255"/>
      <c r="D27" s="173"/>
      <c r="E27" s="173"/>
      <c r="F27" s="173"/>
    </row>
    <row r="28" spans="1:6" ht="15">
      <c r="B28" s="173"/>
      <c r="C28" s="255"/>
      <c r="D28" s="173"/>
      <c r="E28" s="173"/>
      <c r="F28" s="173"/>
    </row>
    <row r="29" spans="1:6" ht="15">
      <c r="B29" s="173"/>
      <c r="C29" s="255"/>
      <c r="D29" s="173"/>
      <c r="E29" s="173"/>
      <c r="F29" s="173"/>
    </row>
    <row r="30" spans="1:6" ht="15">
      <c r="B30" s="173"/>
      <c r="C30" s="255"/>
      <c r="D30" s="173"/>
      <c r="E30" s="173"/>
      <c r="F30" s="173"/>
    </row>
    <row r="31" spans="1:6" ht="15">
      <c r="B31" s="173"/>
      <c r="C31" s="255"/>
      <c r="D31" s="173"/>
      <c r="E31" s="173"/>
      <c r="F31" s="173"/>
    </row>
    <row r="32" spans="1:6" ht="15">
      <c r="B32" s="173"/>
      <c r="C32" s="255"/>
      <c r="D32" s="173"/>
      <c r="E32" s="173"/>
      <c r="F32" s="173"/>
    </row>
    <row r="33" spans="2:6" ht="15">
      <c r="B33" s="173"/>
      <c r="C33" s="255"/>
      <c r="D33" s="173"/>
      <c r="E33" s="173"/>
      <c r="F33" s="17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D2C0-25D0-411A-AECD-3FF7A869CB25}">
  <dimension ref="A1:T10"/>
  <sheetViews>
    <sheetView zoomScale="85" zoomScaleNormal="85" workbookViewId="0">
      <selection activeCell="M20" sqref="M20"/>
    </sheetView>
  </sheetViews>
  <sheetFormatPr defaultRowHeight="15"/>
  <cols>
    <col min="1" max="1" width="31.42578125" bestFit="1" customWidth="1"/>
    <col min="2" max="17" width="12.5703125" bestFit="1" customWidth="1"/>
    <col min="18" max="19" width="12.5703125" style="180" bestFit="1" customWidth="1"/>
    <col min="20" max="20" width="40" bestFit="1" customWidth="1"/>
  </cols>
  <sheetData>
    <row r="1" spans="1:20">
      <c r="A1" s="108"/>
      <c r="B1" s="345" t="s">
        <v>37</v>
      </c>
      <c r="C1" s="345"/>
      <c r="D1" s="345" t="s">
        <v>38</v>
      </c>
      <c r="E1" s="345"/>
      <c r="F1" s="345" t="s">
        <v>198</v>
      </c>
      <c r="G1" s="345"/>
      <c r="H1" s="345" t="s">
        <v>199</v>
      </c>
      <c r="I1" s="345"/>
      <c r="J1" s="345" t="s">
        <v>263</v>
      </c>
      <c r="K1" s="345"/>
      <c r="L1" s="345" t="s">
        <v>266</v>
      </c>
      <c r="M1" s="345"/>
      <c r="N1" s="345" t="s">
        <v>268</v>
      </c>
      <c r="O1" s="345"/>
      <c r="P1" s="345" t="s">
        <v>270</v>
      </c>
      <c r="Q1" s="345"/>
      <c r="R1" s="346" t="s">
        <v>273</v>
      </c>
      <c r="S1" s="346"/>
      <c r="T1" s="108" t="s">
        <v>344</v>
      </c>
    </row>
    <row r="2" spans="1:20">
      <c r="A2" s="258"/>
      <c r="B2" s="258" t="s">
        <v>339</v>
      </c>
      <c r="C2" s="258" t="s">
        <v>340</v>
      </c>
      <c r="D2" s="258" t="s">
        <v>339</v>
      </c>
      <c r="E2" s="258" t="s">
        <v>340</v>
      </c>
      <c r="F2" s="258" t="s">
        <v>339</v>
      </c>
      <c r="G2" s="258" t="s">
        <v>340</v>
      </c>
      <c r="H2" s="258" t="s">
        <v>339</v>
      </c>
      <c r="I2" s="258" t="s">
        <v>340</v>
      </c>
      <c r="J2" s="258" t="s">
        <v>339</v>
      </c>
      <c r="K2" s="258" t="s">
        <v>340</v>
      </c>
      <c r="L2" s="258" t="s">
        <v>339</v>
      </c>
      <c r="M2" s="258" t="s">
        <v>340</v>
      </c>
      <c r="N2" s="258" t="s">
        <v>339</v>
      </c>
      <c r="O2" s="258" t="s">
        <v>340</v>
      </c>
      <c r="P2" s="258" t="s">
        <v>339</v>
      </c>
      <c r="Q2" s="258" t="s">
        <v>340</v>
      </c>
      <c r="R2" s="259" t="s">
        <v>339</v>
      </c>
      <c r="S2" s="259" t="s">
        <v>340</v>
      </c>
    </row>
    <row r="3" spans="1:20">
      <c r="A3" s="257" t="s">
        <v>276</v>
      </c>
      <c r="B3" s="213">
        <v>305563.2</v>
      </c>
      <c r="D3" s="213">
        <v>322001.41611758259</v>
      </c>
      <c r="F3" s="213">
        <v>331176.83635231934</v>
      </c>
      <c r="H3" s="213">
        <v>313214.41552112275</v>
      </c>
      <c r="J3" s="213">
        <v>392605.79192118708</v>
      </c>
      <c r="L3" s="213">
        <v>393206.9584816792</v>
      </c>
      <c r="N3" s="213">
        <v>297098.55082050042</v>
      </c>
      <c r="P3" s="213">
        <v>322089.04844075977</v>
      </c>
      <c r="R3" s="180">
        <v>212481.84</v>
      </c>
    </row>
    <row r="4" spans="1:20">
      <c r="A4" s="257" t="s">
        <v>341</v>
      </c>
      <c r="B4" s="213">
        <v>203708.81</v>
      </c>
      <c r="D4" s="213">
        <v>214667.61074505502</v>
      </c>
      <c r="F4" s="213">
        <v>220784.55756821285</v>
      </c>
      <c r="H4" s="213">
        <v>208809.61034741532</v>
      </c>
      <c r="J4" s="213">
        <v>261737.19461412495</v>
      </c>
      <c r="L4" s="213">
        <v>262137.97232111957</v>
      </c>
      <c r="N4" s="213">
        <v>198065.70054700048</v>
      </c>
      <c r="P4" s="213">
        <v>214726.03229383987</v>
      </c>
      <c r="R4" s="180">
        <v>141654.56084374597</v>
      </c>
    </row>
    <row r="5" spans="1:20">
      <c r="A5" s="260" t="s">
        <v>5</v>
      </c>
      <c r="B5" s="261"/>
      <c r="C5" s="262">
        <v>509272.01</v>
      </c>
      <c r="D5" s="261"/>
      <c r="E5" s="262">
        <v>536669.02686263761</v>
      </c>
      <c r="F5" s="261"/>
      <c r="G5" s="262">
        <v>551961.39392053219</v>
      </c>
      <c r="H5" s="261"/>
      <c r="I5" s="262">
        <v>522024.02586853807</v>
      </c>
      <c r="J5" s="261"/>
      <c r="K5" s="262">
        <v>654342.98653531203</v>
      </c>
      <c r="L5" s="261"/>
      <c r="M5" s="262">
        <f>SUM(L3:L4)</f>
        <v>655344.93080279883</v>
      </c>
      <c r="N5" s="261"/>
      <c r="O5" s="262">
        <f>SUM(N3:N4)</f>
        <v>495164.25136750087</v>
      </c>
      <c r="P5" s="261"/>
      <c r="Q5" s="262">
        <f>SUM(P3:P4)</f>
        <v>536815.08073459961</v>
      </c>
      <c r="R5" s="263"/>
      <c r="S5" s="263">
        <f>SUM(R3:R4)</f>
        <v>354136.40084374597</v>
      </c>
      <c r="T5" s="263">
        <f>SUM(B5:S5)</f>
        <v>4815730.1069356659</v>
      </c>
    </row>
    <row r="7" spans="1:20">
      <c r="A7" s="257" t="s">
        <v>342</v>
      </c>
      <c r="B7" s="213">
        <v>450000</v>
      </c>
      <c r="D7" s="213">
        <v>450000</v>
      </c>
      <c r="F7" s="213">
        <v>447667.36</v>
      </c>
      <c r="H7" s="213">
        <v>447620.27</v>
      </c>
      <c r="J7" s="213">
        <v>490823.31</v>
      </c>
      <c r="L7" s="213">
        <v>490218.63</v>
      </c>
      <c r="N7" s="213">
        <v>487820.49</v>
      </c>
      <c r="P7" s="213">
        <v>488372.19</v>
      </c>
      <c r="R7" s="180">
        <v>0</v>
      </c>
    </row>
    <row r="8" spans="1:20">
      <c r="A8" s="257" t="s">
        <v>276</v>
      </c>
      <c r="C8" s="213">
        <v>305563.2</v>
      </c>
      <c r="E8" s="213">
        <v>322001.41611758259</v>
      </c>
      <c r="G8" s="213">
        <v>331176.83635231934</v>
      </c>
      <c r="I8" s="213">
        <v>313214.41552112275</v>
      </c>
      <c r="K8" s="213">
        <v>392605.79192118708</v>
      </c>
      <c r="M8" s="213">
        <f>L3</f>
        <v>393206.9584816792</v>
      </c>
      <c r="O8" s="213">
        <f>N3</f>
        <v>297098.55082050042</v>
      </c>
      <c r="Q8" s="213">
        <f>P3</f>
        <v>322089.04844075977</v>
      </c>
      <c r="S8" s="180">
        <v>212481.84</v>
      </c>
    </row>
    <row r="9" spans="1:20">
      <c r="A9" s="260" t="s">
        <v>343</v>
      </c>
      <c r="B9" s="261"/>
      <c r="C9" s="262">
        <f>B7-C8</f>
        <v>144436.79999999999</v>
      </c>
      <c r="D9" s="261"/>
      <c r="E9" s="262">
        <f>D7-E8</f>
        <v>127998.58388241741</v>
      </c>
      <c r="F9" s="261"/>
      <c r="G9" s="262">
        <f>F7-G8</f>
        <v>116490.52364768065</v>
      </c>
      <c r="H9" s="261"/>
      <c r="I9" s="262">
        <f>H7-I8</f>
        <v>134405.85447887727</v>
      </c>
      <c r="J9" s="261"/>
      <c r="K9" s="262">
        <f>J7-K8</f>
        <v>98217.518078812922</v>
      </c>
      <c r="L9" s="261"/>
      <c r="M9" s="262">
        <f>L7-M8</f>
        <v>97011.6715183208</v>
      </c>
      <c r="N9" s="261"/>
      <c r="O9" s="262">
        <f>N7-O8</f>
        <v>190721.93917949958</v>
      </c>
      <c r="P9" s="261"/>
      <c r="Q9" s="262">
        <f>P7-Q8</f>
        <v>166283.14155924023</v>
      </c>
      <c r="R9" s="263"/>
      <c r="S9" s="263">
        <v>0</v>
      </c>
      <c r="T9" s="263">
        <f>SUM(B9:S9)</f>
        <v>1075566.0323448488</v>
      </c>
    </row>
    <row r="10" spans="1:20">
      <c r="T10" s="264">
        <f>SUM(T3:T9)</f>
        <v>5891296.1392805148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B92E-1E61-4CEA-8B0D-1B3F322A0DAC}">
  <dimension ref="B4:F17"/>
  <sheetViews>
    <sheetView zoomScale="145" zoomScaleNormal="145" workbookViewId="0"/>
  </sheetViews>
  <sheetFormatPr defaultRowHeight="15"/>
  <cols>
    <col min="2" max="2" width="22" bestFit="1" customWidth="1"/>
    <col min="3" max="5" width="12.85546875" bestFit="1" customWidth="1"/>
    <col min="6" max="6" width="12.85546875" style="108" bestFit="1" customWidth="1"/>
  </cols>
  <sheetData>
    <row r="4" spans="2:6">
      <c r="B4" s="135" t="s">
        <v>109</v>
      </c>
    </row>
    <row r="5" spans="2:6">
      <c r="C5" s="123" t="s">
        <v>46</v>
      </c>
      <c r="D5" s="123" t="s">
        <v>47</v>
      </c>
      <c r="E5" s="123" t="s">
        <v>48</v>
      </c>
      <c r="F5" s="123" t="s">
        <v>71</v>
      </c>
    </row>
    <row r="6" spans="2:6">
      <c r="B6" s="136" t="s">
        <v>36</v>
      </c>
      <c r="C6" s="137"/>
      <c r="D6" s="137"/>
      <c r="E6" s="137"/>
      <c r="F6" s="138"/>
    </row>
    <row r="7" spans="2:6">
      <c r="B7" t="s">
        <v>79</v>
      </c>
      <c r="C7" s="131">
        <v>80000</v>
      </c>
      <c r="D7" s="131">
        <v>100000</v>
      </c>
      <c r="E7" s="131">
        <v>120000</v>
      </c>
      <c r="F7" s="133">
        <f>SUM(C7:E7)</f>
        <v>300000</v>
      </c>
    </row>
    <row r="8" spans="2:6">
      <c r="B8" t="s">
        <v>85</v>
      </c>
      <c r="C8" s="131">
        <v>275000</v>
      </c>
      <c r="D8" s="131">
        <v>365000</v>
      </c>
      <c r="E8" s="131">
        <v>410000</v>
      </c>
      <c r="F8" s="133">
        <f>SUM(C8:E8)</f>
        <v>1050000</v>
      </c>
    </row>
    <row r="9" spans="2:6">
      <c r="B9" s="108" t="s">
        <v>71</v>
      </c>
      <c r="C9" s="132">
        <f>SUM(C7:C8)</f>
        <v>355000</v>
      </c>
      <c r="D9" s="132">
        <f t="shared" ref="D9" si="0">SUM(D7:D8)</f>
        <v>465000</v>
      </c>
      <c r="E9" s="132">
        <f t="shared" ref="E9" si="1">SUM(E7:E8)</f>
        <v>530000</v>
      </c>
      <c r="F9" s="134">
        <f>SUM(C9:E9)</f>
        <v>1350000</v>
      </c>
    </row>
    <row r="10" spans="2:6">
      <c r="C10" s="131"/>
      <c r="D10" s="131"/>
      <c r="E10" s="131"/>
      <c r="F10" s="133"/>
    </row>
    <row r="11" spans="2:6">
      <c r="B11" s="139" t="s">
        <v>35</v>
      </c>
      <c r="C11" s="140"/>
      <c r="D11" s="140"/>
      <c r="E11" s="140"/>
      <c r="F11" s="141"/>
    </row>
    <row r="12" spans="2:6">
      <c r="B12" t="s">
        <v>79</v>
      </c>
      <c r="C12" s="131">
        <v>302152.20999999996</v>
      </c>
      <c r="D12" s="131">
        <f>D7</f>
        <v>100000</v>
      </c>
      <c r="E12" s="131">
        <f>E7</f>
        <v>120000</v>
      </c>
      <c r="F12" s="133">
        <f>SUM(C12:E12)</f>
        <v>522152.20999999996</v>
      </c>
    </row>
    <row r="13" spans="2:6">
      <c r="B13" t="s">
        <v>85</v>
      </c>
      <c r="C13" s="131">
        <v>0</v>
      </c>
      <c r="D13" s="131">
        <f>D8</f>
        <v>365000</v>
      </c>
      <c r="E13" s="131">
        <f>E8</f>
        <v>410000</v>
      </c>
      <c r="F13" s="133">
        <f>SUM(C13:E13)</f>
        <v>775000</v>
      </c>
    </row>
    <row r="14" spans="2:6">
      <c r="B14" s="108" t="s">
        <v>71</v>
      </c>
      <c r="C14" s="132">
        <f>SUM(C12:C13)</f>
        <v>302152.20999999996</v>
      </c>
      <c r="D14" s="132">
        <f t="shared" ref="D14:E14" si="2">SUM(D12:D13)</f>
        <v>465000</v>
      </c>
      <c r="E14" s="132">
        <f t="shared" si="2"/>
        <v>530000</v>
      </c>
      <c r="F14" s="134">
        <f>SUM(C14:E14)</f>
        <v>1297152.21</v>
      </c>
    </row>
    <row r="15" spans="2:6">
      <c r="C15" s="131"/>
      <c r="D15" s="131"/>
      <c r="E15" s="131"/>
      <c r="F15" s="133"/>
    </row>
    <row r="16" spans="2:6">
      <c r="B16" s="108" t="s">
        <v>27</v>
      </c>
      <c r="C16" s="132">
        <f>C14-C9</f>
        <v>-52847.790000000037</v>
      </c>
      <c r="D16" s="132">
        <f t="shared" ref="D16:F16" si="3">D14-D9</f>
        <v>0</v>
      </c>
      <c r="E16" s="132">
        <f t="shared" si="3"/>
        <v>0</v>
      </c>
      <c r="F16" s="132">
        <f t="shared" si="3"/>
        <v>-52847.790000000037</v>
      </c>
    </row>
    <row r="17" spans="2:2">
      <c r="B17" s="14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Pacing - Yearly Summary</vt:lpstr>
      <vt:lpstr>Pacing - Act. vs Budget</vt:lpstr>
      <vt:lpstr>Pacing - Monthly Inputs (actual</vt:lpstr>
      <vt:lpstr>Variance Check</vt:lpstr>
      <vt:lpstr>Forecast Supports --&gt;</vt:lpstr>
      <vt:lpstr>Adswizz Rev_Exp_02.17</vt:lpstr>
      <vt:lpstr>Programmatic Data_Michal_02.09</vt:lpstr>
      <vt:lpstr>Billed n Booked_Philip_02.02</vt:lpstr>
      <vt:lpstr>Actuals Supports ---&gt;</vt:lpstr>
      <vt:lpstr>Dec-2025_IncomeStatement</vt:lpstr>
      <vt:lpstr>Adam Carolla_Monthly Breakdown</vt:lpstr>
      <vt:lpstr>ART19 Summary_YTD</vt:lpstr>
      <vt:lpstr>Ellie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Garcia</dc:creator>
  <cp:lastModifiedBy>Rosel Villegas</cp:lastModifiedBy>
  <dcterms:created xsi:type="dcterms:W3CDTF">2022-04-04T15:37:35Z</dcterms:created>
  <dcterms:modified xsi:type="dcterms:W3CDTF">2026-02-20T20:27:56Z</dcterms:modified>
</cp:coreProperties>
</file>